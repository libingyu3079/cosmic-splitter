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8080" activeTab="2"/>
  </bookViews>
  <sheets>
    <sheet name="填写说明" sheetId="16" r:id="rId1"/>
    <sheet name="灵犀助手-cosmic " sheetId="19" r:id="rId2"/>
    <sheet name="Sheet1" sheetId="20" r:id="rId3"/>
  </sheets>
  <definedNames>
    <definedName name="_xlnm._FilterDatabase" localSheetId="1" hidden="1">'灵犀助手-cosmic '!$A$4:$N$549</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<sst xmlns="http://schemas.openxmlformats.org/spreadsheetml/2006/main" count="5511" uniqueCount="2611">
  <si>
    <t>填写说明【功能点评估是从用户视角（即业务价值）度量软件的大小】</t>
  </si>
  <si>
    <r>
      <rPr>
        <b/>
        <sz val="10"/>
        <rFont val="宋体"/>
        <charset val="134"/>
      </rPr>
      <t>输入（</t>
    </r>
    <r>
      <rPr>
        <b/>
        <sz val="10"/>
        <rFont val="MicrosoftYaHei-Bold"/>
        <charset val="134"/>
      </rPr>
      <t>E</t>
    </r>
    <r>
      <rPr>
        <b/>
        <sz val="10"/>
        <rFont val="宋体"/>
        <charset val="134"/>
      </rPr>
      <t>）</t>
    </r>
  </si>
  <si>
    <t>将一个数据组从功能用户一侧跨越边界移动给需要它的系统功能</t>
  </si>
  <si>
    <t>（1）接受来自边界外的功能用户发送的单个数据组；
（2）在不涉及其他数据移动类型的情况下，包括所有必须的格式化和展示运算，以及与验证输入数据属性相关的运算；
（3）除非需要特殊的系统功能，否则从系统时钟获得日期和/或时间不可以被认为是一个输入或任何其他数据移动。</t>
  </si>
  <si>
    <t>输出（X）</t>
  </si>
  <si>
    <t>将一个数据组从系统功能一侧跨越边界移动给需要它的功能用户</t>
  </si>
  <si>
    <t>（1）从一个单一数据组向边界外的功能用户发送数据属性；
（2）在不涉及其他数据移动类型的情况下，包括所有必须的格式化和展示运算，以及需要向功能用户发送数据属性所需的数据运算；
（3）在识别输出时，忽略所有帮助人类用户理解输出数据的字段及其他表头；
（4）对于输出是固定文档的查询功能（“固定”指的是所包含的信息没有变量），要为固定文本输出识别一个输出。</t>
  </si>
  <si>
    <t>读（R）</t>
  </si>
  <si>
    <t>将一个数据组从持久存储介质移动到需要它的系统功能</t>
  </si>
  <si>
    <t>（1)从持久性存储介质检索一个单一的数据组；
(2)在不涉及其他数据移动类型的情况下， 包括读取数据所需的所有逻辑处理和/或数学计算；
(3)软件或硬件功能用户作为数据组来源时，或者从功能用户读取或存储数据组时，不应识别为读。</t>
  </si>
  <si>
    <t>写（W）</t>
  </si>
  <si>
    <t>将一个数据组从系统功能移动到持久存储介质</t>
  </si>
  <si>
    <t>(1)将一个独立的数据组移动到持久性存储介质中；
(2)在不涉及其他数据移动类型的情况下，包括所有为了要建立“ 写” 数据属性的逻辑处理和/或数学计算；
(3)需要从持久性存储介质中删除一个数据组的需求应被识别为一个写数据移动；
(4)软件或硬件功能用户作为数据组的输出对象或存储对象时，不应识别为写。</t>
  </si>
  <si>
    <t>复用程度调整系数</t>
  </si>
  <si>
    <t>取值</t>
  </si>
  <si>
    <t>新增</t>
  </si>
  <si>
    <t>无系统其他子过程数据组移动与该子过程相似</t>
  </si>
  <si>
    <t>复用</t>
  </si>
  <si>
    <t>该子过程与系统其他子过程数据组移动类似</t>
  </si>
  <si>
    <t>利旧</t>
  </si>
  <si>
    <t>该子过程与系统其他子过程数据组移动一致</t>
  </si>
  <si>
    <t>软件开发计价模型</t>
  </si>
  <si>
    <t>E</t>
  </si>
  <si>
    <t>输入</t>
  </si>
  <si>
    <t>X</t>
  </si>
  <si>
    <t>输出</t>
  </si>
  <si>
    <t>R</t>
  </si>
  <si>
    <t>读</t>
  </si>
  <si>
    <t>W</t>
  </si>
  <si>
    <t>写</t>
  </si>
  <si>
    <t>通用软件评估模型</t>
  </si>
  <si>
    <t>度量策略阶段</t>
  </si>
  <si>
    <t>映射阶段</t>
  </si>
  <si>
    <t>度量阶段（送审情况）</t>
  </si>
  <si>
    <t>客户需求</t>
  </si>
  <si>
    <t>功能用户需求</t>
  </si>
  <si>
    <t>功能用户</t>
  </si>
  <si>
    <t>触发事件</t>
  </si>
  <si>
    <t>功能过程</t>
  </si>
  <si>
    <t>子过程描述</t>
  </si>
  <si>
    <t>数据移动类型</t>
  </si>
  <si>
    <t>数据组</t>
  </si>
  <si>
    <t>数据属性</t>
  </si>
  <si>
    <t>复用度</t>
  </si>
  <si>
    <t>CFP</t>
  </si>
  <si>
    <t>ΣCFP</t>
  </si>
  <si>
    <t>一级模块</t>
  </si>
  <si>
    <t>二级模块</t>
  </si>
  <si>
    <t>三级模块</t>
  </si>
  <si>
    <t>我的集团-外场营销OPT</t>
  </si>
  <si>
    <t>建档管理</t>
  </si>
  <si>
    <t>输入处理-文本输入</t>
  </si>
  <si>
    <t>文本输入处理</t>
  </si>
  <si>
    <t>发送者：用户 接受者：灵犀助手</t>
  </si>
  <si>
    <t>客户经理输入企业名称或自然语言</t>
  </si>
  <si>
    <t>接收文本输入</t>
  </si>
  <si>
    <t>捕获用户输入的文本内容并进行预处理</t>
  </si>
  <si>
    <t>文本输入</t>
  </si>
  <si>
    <t>输入文本、用户ID、会话ID、时间戳、客户端类型、设备信息、网络环境、输入长度、语言类型、输入来源渠道</t>
  </si>
  <si>
    <t>读取输入验证规则</t>
  </si>
  <si>
    <t>获取文本输入的格式验证和敏感词过滤规则</t>
  </si>
  <si>
    <t>输入验证配置</t>
  </si>
  <si>
    <t>最大长度、最小长度、字符类型限制、敏感词库、正则表达式、格式模板、语言检测规则、拼写检查规则、重复检测规则、特殊字符过滤规则</t>
  </si>
  <si>
    <t>存储输入记录</t>
  </si>
  <si>
    <t>保存用户输入内容和元数据</t>
  </si>
  <si>
    <t>输入记录</t>
  </si>
  <si>
    <t>输入ID、用户ID、会话标识、输入内容、输入时间、输入方式、设备信息、客户端类型、网络状态、处理状态、错误信息</t>
  </si>
  <si>
    <t>返回输入处理结果</t>
  </si>
  <si>
    <t>输出标准化的文本输入供后续处理</t>
  </si>
  <si>
    <t>输入输出</t>
  </si>
  <si>
    <t>标准化文本、输入状态、验证结果、错误信息、建议修正、输入长度、语言类型、字符编码、处理耗时、数据版本</t>
  </si>
  <si>
    <t>输入处理-语音输入</t>
  </si>
  <si>
    <t>语音转文本</t>
  </si>
  <si>
    <t>客户经理点击语音按钮说话</t>
  </si>
  <si>
    <t>接收语音流数据</t>
  </si>
  <si>
    <t>捕获音频流并进行格式验证</t>
  </si>
  <si>
    <t>语音输入</t>
  </si>
  <si>
    <t>音频流、采样率、声道数、时长、用户ID、会话ID、时间戳、设备信息、音频格式、文件大小、录音质量、网络状态</t>
  </si>
  <si>
    <t>调用语音识别服务</t>
  </si>
  <si>
    <t>将音频转换为文本并提取特征</t>
  </si>
  <si>
    <t>语音识别配置</t>
  </si>
  <si>
    <t>API地址、认证密钥、语言模型、采样率要求、超时设置、重试次数、并发限制、数据加密方式、回调地址、日志级别、识别引擎、置信度阈值</t>
  </si>
  <si>
    <t>存储语音识别结果</t>
  </si>
  <si>
    <t>保存识别文本和元数据</t>
  </si>
  <si>
    <t>语音识别记录</t>
  </si>
  <si>
    <t>文本内容、置信度、关键词、说话人数量、噪音等级、识别耗时、音频ID、用户ID、会话标识、处理时间、识别引擎版本、错误信息</t>
  </si>
  <si>
    <t>返回识别文本</t>
  </si>
  <si>
    <t>输出标准化文本供意图识别</t>
  </si>
  <si>
    <t>语音文本输出</t>
  </si>
  <si>
    <t>识别文本、置信度、关键词列表、实体识别、情感分析、处理状态、错误信息、音频质量评分、语言类型、文本长度</t>
  </si>
  <si>
    <t>输入处理-图片输入</t>
  </si>
  <si>
    <t>OCR识别处理</t>
  </si>
  <si>
    <t>客户经理拍照上传营业执照</t>
  </si>
  <si>
    <t>接收图片文件数据</t>
  </si>
  <si>
    <t>验证图片格式和大小</t>
  </si>
  <si>
    <t>图片输入</t>
  </si>
  <si>
    <t>图片文件、文件名、MIME类型、大小、分辨率、用户ID、会话ID、时间戳、设备信息、拍摄时间、GPS坐标、图片质量、文件哈希值</t>
  </si>
  <si>
    <t>调用OCR识别服务</t>
  </si>
  <si>
    <t>提取图片中的文本和结构化信息</t>
  </si>
  <si>
    <t>OCR配置</t>
  </si>
  <si>
    <t>服务地址、API密钥、识别模式、语言类型、置信度阈值、超时时间、重试次数、并发限制、数据加密方式、回调地址、模板版本、字段映射规则</t>
  </si>
  <si>
    <t>存储OCR识别结果</t>
  </si>
  <si>
    <t>保存识别的文本和字段信息</t>
  </si>
  <si>
    <t>OCR识别记录</t>
  </si>
  <si>
    <t>企业名称、统一代码、法人姓名、注册资本、成立日期、经营范围、注册地址、识别置信度、图片ID、用户ID、会话标识、处理时间、识别版本、错误信息</t>
  </si>
  <si>
    <t>返回结构化文本</t>
  </si>
  <si>
    <t>输出标准化企业信息供意图分析</t>
  </si>
  <si>
    <t>OCR文本输出</t>
  </si>
  <si>
    <t>识别文本、结构化字段、置信度列表、关键词提取、实体识别、处理状态、错误信息、图片质量评分、字段完整性、数据版本</t>
  </si>
  <si>
    <t>意图识别-意图分类</t>
  </si>
  <si>
    <t>文本意图识别</t>
  </si>
  <si>
    <t>用户输入处理完成后</t>
  </si>
  <si>
    <t>接收意图识别请求</t>
  </si>
  <si>
    <t>解析用户输入文本和上下文</t>
  </si>
  <si>
    <t>意图请求</t>
  </si>
  <si>
    <t>输入文本、用户ID、会话ID、时间戳、上下文信息、历史对话、用户角色、设备信息、网络环境、输入来源</t>
  </si>
  <si>
    <t>加载意图识别模型</t>
  </si>
  <si>
    <t>读取意图分类模型参数和规则库</t>
  </si>
  <si>
    <t>意图模型配置</t>
  </si>
  <si>
    <t>模型版本、模型路径、类别标签、置信度阈值、特征提取器、停用词表、同义词库、领域词典、训练数据版本、超参数配置、实体识别规则、关键词库</t>
  </si>
  <si>
    <t>执行意图分类算法</t>
  </si>
  <si>
    <t>调用NLP模型进行意图识别</t>
  </si>
  <si>
    <t>意图识别结果</t>
  </si>
  <si>
    <t>意图类型、置信度分数、关键词提取、实体识别结果、情感倾向、语义向量、处理耗时、模型版本、用户输入哈希、识别状态、错误信息</t>
  </si>
  <si>
    <t>返回意图识别结果</t>
  </si>
  <si>
    <t>格式化意图结果供调度使用</t>
  </si>
  <si>
    <t>意图输出</t>
  </si>
  <si>
    <t>意图类别、置信度、实体列表、关键词列表、语义标签、处理状态、错误信息、建议操作、优先级、意图版本</t>
  </si>
  <si>
    <t>意图识别-意图增强</t>
  </si>
  <si>
    <t>上下文增强</t>
  </si>
  <si>
    <t>多轮对话过程中</t>
  </si>
  <si>
    <t>接收上下文增强请求</t>
  </si>
  <si>
    <t>捕获对话历史和用户状态</t>
  </si>
  <si>
    <t>上下文请求</t>
  </si>
  <si>
    <t>对话历史、用户状态、会话ID、用户ID、时间戳、意图序列、实体列表、槽位填充、对话轮次、上下文有效期、用户偏好、历史查询</t>
  </si>
  <si>
    <t>读取上下文配置</t>
  </si>
  <si>
    <t>获取上下文持久化和缓存策略</t>
  </si>
  <si>
    <t>上下文配置</t>
  </si>
  <si>
    <t>存储类型、缓存策略、TTL、最大对话轮次、序列化方式、压缩方式、加密方式、备份策略、清理策略、监控配置、上下文权重、历史记录保留策略</t>
  </si>
  <si>
    <t>存储对话上下文</t>
  </si>
  <si>
    <t>将上下文信息持久化存储</t>
  </si>
  <si>
    <t>上下文记录</t>
  </si>
  <si>
    <t>会话ID、用户ID、对话历史、实体状态、槽位信息、意图序列、创建时间、更新时间、过期时间、数据版本、存储位置、访问次数、最后访问时间</t>
  </si>
  <si>
    <t>返回增强后的意图</t>
  </si>
  <si>
    <t>输出结合上下文的意图信息</t>
  </si>
  <si>
    <t>上下文输出</t>
  </si>
  <si>
    <t>增强意图、置信度提升、上下文信息、实体状态、槽位信息、意图序列、上下文有效期、上下文版本、置信度变化、建议操作</t>
  </si>
  <si>
    <t>提示词管理-提示词创建</t>
  </si>
  <si>
    <t>查询提示词生成</t>
  </si>
  <si>
    <t>意图识别为建档查询</t>
  </si>
  <si>
    <t>接收输入内容生成提示词请求</t>
  </si>
  <si>
    <t>解析查询意图和企业信息</t>
  </si>
  <si>
    <t>提示词请求</t>
  </si>
  <si>
    <t>查询意图、企业名称、用户ID、会话ID、时间戳、上下文信息、历史查询、用户偏好、查询类型、优先级、语言类型</t>
  </si>
  <si>
    <t>返回生成的提示词</t>
  </si>
  <si>
    <t>输出标准化提示词供查询使用</t>
  </si>
  <si>
    <t>提示词输出</t>
  </si>
  <si>
    <t>提示词内容、模板版本、变量列表、语言类型、风格配置、长度、置信度、处理状态、错误信息、建议优化、查询字段、过滤条件</t>
  </si>
  <si>
    <t>提示词管理-提示词优化</t>
  </si>
  <si>
    <t>提示词质量优化</t>
  </si>
  <si>
    <t>提示词生成后自动触发</t>
  </si>
  <si>
    <t>接收提示词优化请求</t>
  </si>
  <si>
    <t>分析提示词质量和可优化点</t>
  </si>
  <si>
    <t>优化请求</t>
  </si>
  <si>
    <t>原始提示词、用户意图、上下文信息、用户ID、会话ID、时间戳、优化目标、约束条件、优先级、历史反馈、查询历史、用户偏好</t>
  </si>
  <si>
    <t>读取优化策略配置</t>
  </si>
  <si>
    <t>加载提示词优化规则和算法配置</t>
  </si>
  <si>
    <t>优化配置</t>
  </si>
  <si>
    <t>优化算法、质量评估模型、约束规则、风格指南、长度限制、关键词权重、语义相似度阈值、重复检测规则、语法检查规则、情感分析配置、查询优化规则、字段权重</t>
  </si>
  <si>
    <t>执行提示词优化算法</t>
  </si>
  <si>
    <t>应用优化规则改进提示词质量</t>
  </si>
  <si>
    <t>优化记录</t>
  </si>
  <si>
    <t>优化后提示词、优化策略、改进点、质量评分、用户ID、会话标识、处理时间、优化耗时、置信度、错误信息、查询字段、过滤条件</t>
  </si>
  <si>
    <t>返回优化后的提示词</t>
  </si>
  <si>
    <t>输出优化后的提示词和质量报告</t>
  </si>
  <si>
    <t>优化输出</t>
  </si>
  <si>
    <t>优化后提示词、质量评分、改进点列表、原始提示词、优化策略、置信度、处理状态、错误信息、建议进一步优化、查询字段、过滤条件</t>
  </si>
  <si>
    <t>知识检索</t>
  </si>
  <si>
    <t>企业知识检索</t>
  </si>
  <si>
    <t>接收知识检索请求</t>
  </si>
  <si>
    <t>解析查询意图和检索关键词</t>
  </si>
  <si>
    <t>检索请求</t>
  </si>
  <si>
    <t>查询文本、用户意图、关键词列表、用户ID、会话ID、时间戳、检索范围、优先级、语言类型、上下文信息、企业名称、查询类型</t>
  </si>
  <si>
    <t>读取知识库配置</t>
  </si>
  <si>
    <t>获取知识库连接信息和检索策略</t>
  </si>
  <si>
    <t>知识库配置</t>
  </si>
  <si>
    <t>知识库地址、认证方式、索引类型、检索算法、相似度阈值、返回数量、超时时间、重试次数、并发限制、数据加密方式、字段映射、权重配置、过滤规则</t>
  </si>
  <si>
    <t>执行向量检索算法</t>
  </si>
  <si>
    <t>在知识库中检索相关企业信息</t>
  </si>
  <si>
    <t>检索记录</t>
  </si>
  <si>
    <t>检索结果、相似度分数、企业列表、片段列表、用户ID、会话标识、查询时间、检索耗时、检索算法、错误信息、命中数量、检索范围</t>
  </si>
  <si>
    <t>返回检索到的企业信息</t>
  </si>
  <si>
    <t>输出结构化企业信息供查询使用</t>
  </si>
  <si>
    <t>检索输出</t>
  </si>
  <si>
    <t>企业信息列表、相似度列表、数据来源、关键词匹配、语义匹配、置信度、检索状态、错误信息、建议补充、企业数量、字段完整性</t>
  </si>
  <si>
    <t>知识增强</t>
  </si>
  <si>
    <t>检索结果增强</t>
  </si>
  <si>
    <t>检索到企业信息后</t>
  </si>
  <si>
    <t>接收知识增强请求</t>
  </si>
  <si>
    <t>准备企业信息和提示词融合</t>
  </si>
  <si>
    <t>增强请求</t>
  </si>
  <si>
    <t>企业信息、提示词、用户意图、上下文信息、用户ID、会话ID、时间戳、融合策略、优先级、约束条件、查询字段、过滤条件</t>
  </si>
  <si>
    <t>读取知识融合配置</t>
  </si>
  <si>
    <t>加载知识融合规则和权重配置</t>
  </si>
  <si>
    <t>融合配置</t>
  </si>
  <si>
    <t>融合算法、权重配置、优先级规则、冲突解决策略、格式转换规则、语义对齐规则、去重规则、排序规则、过滤规则、验证规则、字段映射、数据清洗规则</t>
  </si>
  <si>
    <t>执行知识融合算法</t>
  </si>
  <si>
    <t>将企业信息融入提示词中</t>
  </si>
  <si>
    <t>融合记录</t>
  </si>
  <si>
    <t>增强后提示词、企业信息、融合策略、用户ID、会话标识、处理时间、融合耗时、置信度、错误信息、质量评分、字段完整性、数据版本</t>
  </si>
  <si>
    <t>返回增强后的查询信息</t>
  </si>
  <si>
    <t>输出知识增强后的完整查询信息</t>
  </si>
  <si>
    <t>增强输出</t>
  </si>
  <si>
    <t>增强后提示词、企业信息列表、融合策略、质量评分、置信度、处理状态、错误信息、建议优化、知识覆盖率、字段完整性、数据版本</t>
  </si>
  <si>
    <t>记忆管理-短期记忆</t>
  </si>
  <si>
    <t>对话记忆存储</t>
  </si>
  <si>
    <t>对话过程中自动触发</t>
  </si>
  <si>
    <t>接收短期记忆存储请求</t>
  </si>
  <si>
    <t>捕获当前对话轮次的关键信息</t>
  </si>
  <si>
    <t>短期记忆请求</t>
  </si>
  <si>
    <t>对话内容、用户意图、实体信息、槽位填充、用户ID、会话ID、时间戳、对话轮次、上下文信息、优先级、企业信息、查询历史</t>
  </si>
  <si>
    <t>读取短期记忆配置</t>
  </si>
  <si>
    <t>获取短期记忆的存储策略和生命周期配置</t>
  </si>
  <si>
    <t>短期记忆配置</t>
  </si>
  <si>
    <t>存储类型、TTL、最大容量、序列化方式、压缩方式、加密方式、备份策略、清理策略、监控配置、日志级别、访问控制、数据保留策略</t>
  </si>
  <si>
    <t>存储短期记忆数据</t>
  </si>
  <si>
    <t>将对话信息保存到短期记忆存储</t>
  </si>
  <si>
    <t>短期记忆记录</t>
  </si>
  <si>
    <t>记忆内容、用户ID、会话标识、创建时间、过期时间、对话轮次、实体信息、槽位信息、数据版本、存储位置、访问次数、最后访问时间、记忆类型、记忆状态</t>
  </si>
  <si>
    <t>返回短期记忆状态</t>
  </si>
  <si>
    <t>输出当前短期记忆的使用情况</t>
  </si>
  <si>
    <t>短期记忆输出</t>
  </si>
  <si>
    <t>记忆内容、使用率、剩余容量、过期时间、创建时间、更新时间、数据版本、存储状态、清理时间、访问次数、记忆类型、记忆状态、建议清理</t>
  </si>
  <si>
    <t>记忆管理-长期记忆</t>
  </si>
  <si>
    <t>用户偏好记忆</t>
  </si>
  <si>
    <t>对话结束后自动触发</t>
  </si>
  <si>
    <t>接收长期记忆存储请求</t>
  </si>
  <si>
    <t>提取对话中的重要信息和用户偏好</t>
  </si>
  <si>
    <t>长期记忆请求</t>
  </si>
  <si>
    <t>对话摘要、用户偏好、重要实体、业务信息、用户ID、会话ID、时间戳、记忆类型、优先级、有效期、企业信息、查询习惯、操作偏好</t>
  </si>
  <si>
    <t>读取长期记忆配置</t>
  </si>
  <si>
    <t>获取长期记忆的存储策略和索引配置</t>
  </si>
  <si>
    <t>长期记忆配置</t>
  </si>
  <si>
    <t>存储类型、索引策略、分区策略、备份策略、归档策略、清理策略、压缩方式、加密方式、监控配置、日志级别、访问控制、数据保留策略、索引字段</t>
  </si>
  <si>
    <t>存储长期记忆数据</t>
  </si>
  <si>
    <t>将重要信息持久化到长期记忆库</t>
  </si>
  <si>
    <t>长期记忆记录</t>
  </si>
  <si>
    <t>记忆内容、用户ID、记忆类型、创建时间、过期时间、索引信息、数据版本、存储位置、访问次数、最后访问时间、记忆状态、索引状态、数据完整性</t>
  </si>
  <si>
    <t>返回长期记忆状态</t>
  </si>
  <si>
    <t>输出长期记忆的存储和索引状态</t>
  </si>
  <si>
    <t>长期记忆输出</t>
  </si>
  <si>
    <t>记忆内容、索引状态、存储位置、数据版本、创建时间、过期时间、访问次数、存储状态、清理时间、归档状态、记忆类型、记忆状态、数据完整性</t>
  </si>
  <si>
    <t>记忆管理-记忆检索</t>
  </si>
  <si>
    <t>历史记忆召回</t>
  </si>
  <si>
    <t>新对话开始时自动触发</t>
  </si>
  <si>
    <t>接收记忆检索请求</t>
  </si>
  <si>
    <t>根据用户和上下文检索相关记忆</t>
  </si>
  <si>
    <t>记忆检索请求</t>
  </si>
  <si>
    <t>用户ID、会话ID、检索范围、时间范围、记忆类型、关键词、上下文信息、时间戳、优先级、相似度阈值、企业信息、查询历史</t>
  </si>
  <si>
    <t>读取记忆检索配置</t>
  </si>
  <si>
    <t>获取记忆检索的算法和策略配置</t>
  </si>
  <si>
    <t>记忆检索配置</t>
  </si>
  <si>
    <t>检索算法、索引类型、相似度阈值、返回数量、超时时间、重试次数、并发限制、数据加密方式、排序规则、过滤规则、权重配置、字段映射</t>
  </si>
  <si>
    <t>执行记忆检索算法</t>
  </si>
  <si>
    <t>在记忆库中检索相关历史信息</t>
  </si>
  <si>
    <t>记忆检索记录</t>
  </si>
  <si>
    <t>检索结果、相似度分数、记忆列表、用户ID、会话标识、检索时间、检索耗时、检索算法、错误信息、命中次数、检索范围、数据版本</t>
  </si>
  <si>
    <t>返回检索到的记忆信息</t>
  </si>
  <si>
    <t>输出结构化记忆数据供对话使用</t>
  </si>
  <si>
    <t>记忆检索输出</t>
  </si>
  <si>
    <t>记忆内容列表、相似度列表、记忆类型、创建时间、过期时间、置信度、检索状态、错误信息、建议使用、数据版本、记忆状态、字段完整性</t>
  </si>
  <si>
    <t>建档查询执行-已建档查询</t>
  </si>
  <si>
    <t>已建档企业查询</t>
  </si>
  <si>
    <t>意图识别为已建档企业查询</t>
  </si>
  <si>
    <t>接收已建档查询请求</t>
  </si>
  <si>
    <t>准备企业查询参数和认证信息</t>
  </si>
  <si>
    <t>已建档查询请求</t>
  </si>
  <si>
    <t>企业名称、查询类型、用户ID、会话ID、时间戳、认证Token、查询参数、超时时间、优先级、来源渠道、上下文信息、历史查询</t>
  </si>
  <si>
    <t>读取CRM接口配置</t>
  </si>
  <si>
    <t>获取CRM系统的接口地址和认证配置</t>
  </si>
  <si>
    <t>CRM配置</t>
  </si>
  <si>
    <t>企业名称、工商信息、风险信息、用户ID、会话ID、时间戳、展示字段、展示方式、语言类型、优先级、上下文信息、用户偏好</t>
  </si>
  <si>
    <t>调用CRM查询接口</t>
  </si>
  <si>
    <t>向CRM系统发送查询请求并等待响应</t>
  </si>
  <si>
    <t>CRM查询记录</t>
  </si>
  <si>
    <t>企业名称、调用时间、响应时间、响应码、返回数据、用户ID、会话标识、调用状态、错误信息、业务流水号、查询耗时、数据版本</t>
  </si>
  <si>
    <t>返回已建档查询结果</t>
  </si>
  <si>
    <t>格式化CRM返回的数据</t>
  </si>
  <si>
    <t>已建档查询输出</t>
  </si>
  <si>
    <t>企业信息列表、建档状态、客户经理、更新时间、企业编码、查询状态、错误信息、数据版本、置信度、建议操作、企业数量、字段完整性</t>
  </si>
  <si>
    <t>建档查询执行-未建档查询</t>
  </si>
  <si>
    <t>未建档企业查询</t>
  </si>
  <si>
    <t>意图识别为未建档企业查询</t>
  </si>
  <si>
    <t>接收未建档查询请求</t>
  </si>
  <si>
    <t>准备企业信息查询参数</t>
  </si>
  <si>
    <t>未建档查询请求</t>
  </si>
  <si>
    <t>企业名称、统一代码、查询类型、用户ID、会话ID、时间戳、认证Token、查询参数、超时时间、优先级、来源渠道、上下文信息</t>
  </si>
  <si>
    <t>读取工商接口配置</t>
  </si>
  <si>
    <t>获取工商信息查询接口配置</t>
  </si>
  <si>
    <t>工商配置</t>
  </si>
  <si>
    <t>接口地址、认证方式、超时时间、重试次数、并发限制、数据加密方式、回调地址、日志级别、服务版本、区域配置、字段映射、查询模板</t>
  </si>
  <si>
    <t>调用工商查询接口</t>
  </si>
  <si>
    <t>向工商系统发送查询请求</t>
  </si>
  <si>
    <t>工商查询记录</t>
  </si>
  <si>
    <t>请求ID、企业名称、调用时间、响应时间、响应码、返回数据、用户ID、会话标识、调用状态、错误信息、业务流水号、查询耗时、数据版本</t>
  </si>
  <si>
    <t>返回未建档查询结果</t>
  </si>
  <si>
    <t>格式化工商返回的企业信息</t>
  </si>
  <si>
    <t>未建档查询输出</t>
  </si>
  <si>
    <t>企业工商信息、企业名称、统一代码、法人姓名、注册资本、成立日期、经营范围、注册地址、查询状态、错误信息、数据版本、置信度、建议操作</t>
  </si>
  <si>
    <t>已建档处理-企业选择</t>
  </si>
  <si>
    <t>多企业选择</t>
  </si>
  <si>
    <t>查询返回多个已建档企业</t>
  </si>
  <si>
    <t>接收企业选择请求</t>
  </si>
  <si>
    <t>展示企业列表供用户选择</t>
  </si>
  <si>
    <t>企业选择请求</t>
  </si>
  <si>
    <t>企业列表、用户ID、会话ID、时间戳、选择方式、优先级、展示字段、排序规则、过滤条件、上下文信息</t>
  </si>
  <si>
    <t>读取企业展示配置</t>
  </si>
  <si>
    <t>获取企业列表的展示模板和字段配置</t>
  </si>
  <si>
    <t>展示配置</t>
  </si>
  <si>
    <t>展示模板、字段列表、排序规则、分页配置、筛选条件、搜索配置、高亮规则、样式配置、响应式配置、国际化配置</t>
  </si>
  <si>
    <t>记录用户选择行为</t>
  </si>
  <si>
    <t>保存用户选择的企业和操作记录</t>
  </si>
  <si>
    <t>选择记录</t>
  </si>
  <si>
    <t>选择ID、用户ID、企业编码、选择时间、选择方式、会话标识、操作结果、耗时、IP地址、设备信息、客户端类型、网络状态</t>
  </si>
  <si>
    <t>返回选择结果</t>
  </si>
  <si>
    <t>输出用户选择的企业信息</t>
  </si>
  <si>
    <t>选择输出</t>
  </si>
  <si>
    <t>企业编码、企业名称、选择状态、用户ID、会话标识、选择时间、展示字段、数据版本、操作状态、错误信息</t>
  </si>
  <si>
    <t>已建档处理-信息展示</t>
  </si>
  <si>
    <t>企业信息展示</t>
  </si>
  <si>
    <t>用户选择企业后</t>
  </si>
  <si>
    <t>接收信息展示请求</t>
  </si>
  <si>
    <t>准备企业详细信息</t>
  </si>
  <si>
    <t>信息展示请求</t>
  </si>
  <si>
    <t>企业名称、企业信息、企业工商、企业风险、企业合同、用户ID、会话ID、时间戳、展示字段、展示方式、语言类型、优先级、上下文信息、用户偏好</t>
  </si>
  <si>
    <t>读取信息展示配置</t>
  </si>
  <si>
    <t>获取企业信息的展示模板和字段映射</t>
  </si>
  <si>
    <t>信息展示配置</t>
  </si>
  <si>
    <t>展示模板ID、展示类型、单位转换规则、日期格式、数字格式、货币格式、排序规则、过滤规则、高亮规则、响应式配置</t>
  </si>
  <si>
    <t>格式化企业信息</t>
  </si>
  <si>
    <t>将企业信息转换为展示格式</t>
  </si>
  <si>
    <t>信息展示记录</t>
  </si>
  <si>
    <t>企业信息、格式化内容、用户ID、会话标识、处理时间、处理耗时、展示字段、数据版本、展示模板、错误信息、字段完整性</t>
  </si>
  <si>
    <t>返回格式化信息</t>
  </si>
  <si>
    <t>输出用户友好的企业信息展示</t>
  </si>
  <si>
    <t>信息展示输出</t>
  </si>
  <si>
    <t>企业全称、简称、注册号、法人、注册资本、成立日期、地址、电话、邮箱、行业、规模、客户等级、归属客户经理、建档时间、统一社会信用代码、营业期限、经营范围、登记机关、企业类型、经营状态、注册地址、实际经营地址、展示内容、数据版本、置信度</t>
  </si>
  <si>
    <t>已建档处理-智能体调用</t>
  </si>
  <si>
    <t>任务签到调用</t>
  </si>
  <si>
    <t>用户点击任务签到按钮</t>
  </si>
  <si>
    <t>任务签到调用请求</t>
  </si>
  <si>
    <t>验证调用权限和参数</t>
  </si>
  <si>
    <t>调用请求</t>
  </si>
  <si>
    <t>智能体编码、企业名称、会话ID、时间戳、调用参数、来源模块、设备信息、网络环境、优先级</t>
  </si>
  <si>
    <t>读取任务签到智能体配置</t>
  </si>
  <si>
    <t>获取任务签到智能体的接入配置</t>
  </si>
  <si>
    <t>智能体配置</t>
  </si>
  <si>
    <t>任务签到URL、认证方式、令牌有效期、参数映射、超时时间、重试次数、回调地址、日志级别、服务版本、区域配置</t>
  </si>
  <si>
    <t>读取任务签到记录调用日志</t>
  </si>
  <si>
    <t>记录智能体调用的行为和结果</t>
  </si>
  <si>
    <t>调用日志</t>
  </si>
  <si>
    <t>任务签到日志ID、智能体类型、企业名称、用户ID、调用时间、调用结果、耗时、IP地址、设备信息、会话标识、错误码、错误描述</t>
  </si>
  <si>
    <t>返回任务签到调用结果</t>
  </si>
  <si>
    <t>生成跳转链接或嵌入iframe</t>
  </si>
  <si>
    <t>调用输出</t>
  </si>
  <si>
    <t>任务签到跳转URL、访问令牌、智能体类型、企业编码、用户标识、会话ID、令牌版本、签名信息、加密方式、调用状态</t>
  </si>
  <si>
    <t>业务推荐调用</t>
  </si>
  <si>
    <t>用户点击业务推荐按钮</t>
  </si>
  <si>
    <t>业务推荐智能体调用请求</t>
  </si>
  <si>
    <t>智能体类型、企业编码、用户ID、会话ID、时间戳、调用参数、来源模块、设备信息、网络环境、优先级</t>
  </si>
  <si>
    <t>读取业务推荐智能体配置</t>
  </si>
  <si>
    <t>获取业务推荐智能体的接入配置</t>
  </si>
  <si>
    <t>业务推荐智能体URL、认证方式、令牌有效期、参数映射、超时时间、重试次数、回调地址、日志级别、服务版本、区域配置</t>
  </si>
  <si>
    <t>记录业务推荐调用日志</t>
  </si>
  <si>
    <t>业务推荐日志ID、智能体类型、企业编码、用户ID、调用时间、调用结果、耗时、IP地址、设备信息、会话标识、错误码、错误描述</t>
  </si>
  <si>
    <t>返回业务推荐调用结果</t>
  </si>
  <si>
    <t>业务推荐跳转URL、访问令牌、智能体类型、企业编码、用户标识、会话ID、令牌版本、签名信息、加密方式、调用状态</t>
  </si>
  <si>
    <t>商机上报调用</t>
  </si>
  <si>
    <t>用户点击商机上报按钮</t>
  </si>
  <si>
    <t>接收商机上报智能体调用请求</t>
  </si>
  <si>
    <t>智能体编码、企业编码、会话ID、时间戳、调用参数、来源模块、设备信息、网络环境、优先级</t>
  </si>
  <si>
    <t>读取商机上报智能体配置</t>
  </si>
  <si>
    <t>获取商机上报智能体的接入配置</t>
  </si>
  <si>
    <t>商机上报智能体URL、认证方式、令牌有效期、参数映射、超时时间、重试次数、回调地址、日志级别、服务版本、区域配置</t>
  </si>
  <si>
    <t>记录商机上报调用日志</t>
  </si>
  <si>
    <t>商机上报智能体、企业编码、调用时间、调用结果、耗时、IP地址、设备信息、会话标识、错误码、错误描述</t>
  </si>
  <si>
    <t>返回商机上报调用结果</t>
  </si>
  <si>
    <t>商机上报跳转URL、访问令牌、智能体类型、企业编码、用户标识、会话ID、令牌版本、签名信息、加密方式、调用状态</t>
  </si>
  <si>
    <t>未建档处理-企业信息展示</t>
  </si>
  <si>
    <t>工商信息、合同信息等展示</t>
  </si>
  <si>
    <t>未建档企业查询成功后</t>
  </si>
  <si>
    <t>接收工商、合同信息展示请求</t>
  </si>
  <si>
    <t>准备工商详细信息</t>
  </si>
  <si>
    <t>工商、合同展示请求</t>
  </si>
  <si>
    <t>企业编码、用户ID、会话ID、时间戳、展示字段、展示方式、语言类型、优先级、上下文信息、用户偏好</t>
  </si>
  <si>
    <t>读取工商、合同等展示配置</t>
  </si>
  <si>
    <t>获取工商、合同等信息的展示模板和字段映射</t>
  </si>
  <si>
    <t>工商、合同展示配置</t>
  </si>
  <si>
    <t>工商、合同展示模板、字段映射、样式配置、语言模板、单位转换规则、日期格式、数字格式、货币格式、排序规则、过滤规则、高亮规则、响应式配置</t>
  </si>
  <si>
    <t>格式化工商、合同等信息</t>
  </si>
  <si>
    <t>将工商、合同等信息转换为展示格式</t>
  </si>
  <si>
    <t>工商、合同展示记录</t>
  </si>
  <si>
    <t>工商、合同信息、格式化内容、用户ID、会话标识、处理时间、处理耗时、展示字段、数据版本、展示模板、错误信息、字段完整性</t>
  </si>
  <si>
    <t>返回格式化工商、合同等信息</t>
  </si>
  <si>
    <t>输出用户友好的工商、合同等信息展示</t>
  </si>
  <si>
    <t>工商、合同展示输出</t>
  </si>
  <si>
    <t>企业全称、统一代码、法人姓名、注册资本、成立日期、营业期限、经营范围、注册地址、登记机关、企业类型、经营状态、展示内容、数据版本、置信度、字段完整性</t>
  </si>
  <si>
    <t>未建档处理-建档GUI-LUI建设</t>
  </si>
  <si>
    <t>对话式建档引导</t>
  </si>
  <si>
    <t>用户确认发起建档</t>
  </si>
  <si>
    <t>接收建档引导请求</t>
  </si>
  <si>
    <t>初始化对话式建档流程</t>
  </si>
  <si>
    <t>建档引导请求</t>
  </si>
  <si>
    <t>企业信息、用户ID、会话ID、时间戳、建档类型、优先级、上下文信息、用户偏好、来源渠道、设备信息</t>
  </si>
  <si>
    <t>读取建档引导配置</t>
  </si>
  <si>
    <t>获取对话式建档的流程模板和字段配置</t>
  </si>
  <si>
    <t>建档引导配置</t>
  </si>
  <si>
    <t>流程模板、字段列表、对话轮次、验证规则、默认值、必填字段、可选字段、字段顺序、提示文案、错误提示、成功提示、取消提示</t>
  </si>
  <si>
    <t>生成对话引导内容</t>
  </si>
  <si>
    <t>创建多轮对话的引导问题和提示</t>
  </si>
  <si>
    <t>建档引导记录</t>
  </si>
  <si>
    <t>引导内容、对话轮次、字段列表、用户ID、会话标识、生成时间、生成耗时、流程模板、字段状态、验证状态、错误信息</t>
  </si>
  <si>
    <t>返回对话引导界面</t>
  </si>
  <si>
    <t>输出对话式建档的引导界面</t>
  </si>
  <si>
    <t>建档引导输出</t>
  </si>
  <si>
    <t>引导问题列表、字段提示、必填标识、默认值、验证规则、对话轮次、用户ID、会话标识、引导版本、界面状态、错误信息、建议操作</t>
  </si>
  <si>
    <t>字段智能填充</t>
  </si>
  <si>
    <t>接收字段填充请求</t>
  </si>
  <si>
    <t>分析用户输入并智能填充字段</t>
  </si>
  <si>
    <t>字段填充请求</t>
  </si>
  <si>
    <t>用户输入、字段名称、上下文信息、用户ID、会话ID、时间戳、填充策略、优先级、历史数据、默认值</t>
  </si>
  <si>
    <t>读取字段填充配置</t>
  </si>
  <si>
    <t>获取字段智能填充的规则和算法配置</t>
  </si>
  <si>
    <t>字段填充配置</t>
  </si>
  <si>
    <t>填充算法、规则库、默认值库、历史数据权重、上下文权重、置信度阈值、验证规则、格式转换规则、数据清洗规则、冲突解决策略</t>
  </si>
  <si>
    <t>执行字段填充算法</t>
  </si>
  <si>
    <t>应用填充规则智能填充字段值</t>
  </si>
  <si>
    <t>字段填充记录</t>
  </si>
  <si>
    <t>字段名称、填充值、填充来源、置信度、用户ID、会话标识、处理时间、处理耗时、填充算法、验证状态、错误信息、数据版本</t>
  </si>
  <si>
    <t>返回填充后的字段</t>
  </si>
  <si>
    <t>输出智能填充的字段值和状态</t>
  </si>
  <si>
    <t>字段填充输出</t>
  </si>
  <si>
    <t>字段名称、填充值、置信度、填充来源、验证状态、用户ID、会话标识、字段版本、填充状态、错误信息、建议修正、数据版本</t>
  </si>
  <si>
    <t>多轮对话管理</t>
  </si>
  <si>
    <t>建档对话过程中</t>
  </si>
  <si>
    <t>接收对话管理请求</t>
  </si>
  <si>
    <t>管理多轮对话的状态和流转</t>
  </si>
  <si>
    <t>对话管理请求</t>
  </si>
  <si>
    <t>对话内容、当前轮次、字段状态、用户ID、会话ID、时间戳、对话历史、上下文信息、优先级、操作类型</t>
  </si>
  <si>
    <t>读取对话管理配置</t>
  </si>
  <si>
    <t>获取多轮对话的流转规则和状态配置</t>
  </si>
  <si>
    <t>对话管理配置</t>
  </si>
  <si>
    <t>流转规则、状态机配置、超时设置、重试策略、回退规则、跳过规则、必填校验、可选校验、默认值规则、取消规则、保存规则、提交规则</t>
  </si>
  <si>
    <t>更新对话状态</t>
  </si>
  <si>
    <t>保存对话进度和字段状态</t>
  </si>
  <si>
    <t>对话管理记录</t>
  </si>
  <si>
    <t>对话状态、字段状态、用户ID、会话标识、更新时间、当前轮次、已完成轮次、待完成轮次、对话历史、操作记录、错误信息、数据版本</t>
  </si>
  <si>
    <t>返回对话管理结果</t>
  </si>
  <si>
    <t>输出当前对话状态和下一步操作</t>
  </si>
  <si>
    <t>对话管理输出</t>
  </si>
  <si>
    <t>当前轮次、下一步操作、字段状态、必填字段、可选字段、对话历史、用户ID、会话标识、对话版本、状态提示、错误信息、建议操作</t>
  </si>
  <si>
    <t>未建档处理-智能体调用</t>
  </si>
  <si>
    <t>资源预覆盖调用</t>
  </si>
  <si>
    <t>用户点击资源预覆盖按钮</t>
  </si>
  <si>
    <t>接收资源预覆盖智能体调用请求</t>
  </si>
  <si>
    <t>智能体类型、企业编码、用户ID、会话ID、时间戳、调用参数、来源模块、设备信息、网络环境、优先级、地址信息</t>
  </si>
  <si>
    <t>读取资源预覆盖智能体配置</t>
  </si>
  <si>
    <t>获取资源预覆盖智能体的接入配置</t>
  </si>
  <si>
    <t>资源预覆盖智能体URL、认证方式、令牌有效期、参数映射、超时时间、重试次数、回调地址、日志级别、服务版本、区域配置</t>
  </si>
  <si>
    <t>记录资源预覆盖调用日志</t>
  </si>
  <si>
    <t>资源预覆盖日志ID、智能体类型、企业编码、用户ID、调用时间、调用结果、耗时、IP地址、设备信息、会话标识、错误码、错误描述</t>
  </si>
  <si>
    <t>返回资源预覆盖调用结果</t>
  </si>
  <si>
    <t>资源预覆盖跳转URL、访问令牌、智能体类型、企业编码、用户标识、会话ID、令牌版本、签名信息、加密方式、调用状态</t>
  </si>
  <si>
    <t>商机预录入调用</t>
  </si>
  <si>
    <t>用户点击商机预录入按钮</t>
  </si>
  <si>
    <t>接收智能体调用请求</t>
  </si>
  <si>
    <t>智能体类型、企业编码、用户ID、会话ID、时间戳、调用参数、来源模块、设备信息、网络环境、优先级、商机信息</t>
  </si>
  <si>
    <t>读取智能体配置</t>
  </si>
  <si>
    <t>获取商机预录入智能体的接入配置</t>
  </si>
  <si>
    <t>智能体URL、认证方式、令牌有效期、参数映射、超时时间、重试次数、回调地址、日志级别、服务版本、区域配置</t>
  </si>
  <si>
    <t>记录调用日志</t>
  </si>
  <si>
    <t>日志ID、智能体类型、企业编码、用户ID、调用时间、调用结果、耗时、IP地址、设备信息、会话标识、错误码、错误描述</t>
  </si>
  <si>
    <t>返回调用结果</t>
  </si>
  <si>
    <t>跳转资源预覆盖URL、访问令牌、智能体类型、企业编码、用户标识、会话ID、令牌版本、签名信息、加密方式、调用状态</t>
  </si>
  <si>
    <t>建档结果缓存</t>
  </si>
  <si>
    <t>查询结果缓存</t>
  </si>
  <si>
    <t>查询结果返回后自动触发</t>
  </si>
  <si>
    <t>接收缓存写入请求</t>
  </si>
  <si>
    <t>准备缓存数据和过期策略</t>
  </si>
  <si>
    <t>缓存请求</t>
  </si>
  <si>
    <t>查询结果、查询参数、用户ID、会话ID、时间戳、缓存键、过期时间、缓存类型、优先级、数据版本、企业编码、查询类型</t>
  </si>
  <si>
    <t>读取缓存配置</t>
  </si>
  <si>
    <t>获取缓存系统的连接和策略配置</t>
  </si>
  <si>
    <t>缓存配置</t>
  </si>
  <si>
    <t>缓存类型、TTL、最大容量、淘汰策略、集群地址、端口、密码、数据库编号、连接超时、读取超时、写入超时、重试次数、连接池大小、序列化方式、压缩方式、加密方式、监控配置</t>
  </si>
  <si>
    <t>写入结果到缓存</t>
  </si>
  <si>
    <t>将查询结果存储到缓存系统</t>
  </si>
  <si>
    <t>缓存记录</t>
  </si>
  <si>
    <t>缓存键、缓存数据、用户ID、会话标识、创建时间、过期时间、缓存类型、数据大小、命中次数、最后访问时间、数据版本、存储位置、缓存状态</t>
  </si>
  <si>
    <t>返回缓存状态</t>
  </si>
  <si>
    <t>输出缓存写入的结果和状态</t>
  </si>
  <si>
    <t>缓存输出</t>
  </si>
  <si>
    <t>缓存键、缓存状态、过期时间、命中次数、数据大小、用户ID、会话标识、缓存版本、存储位置、写入耗时、错误信息、缓存类型</t>
  </si>
  <si>
    <t>建档异常处理</t>
  </si>
  <si>
    <t>异常捕获处理</t>
  </si>
  <si>
    <t>系统发生错误时自动触发</t>
  </si>
  <si>
    <t>接收异常事件</t>
  </si>
  <si>
    <t>捕获系统异常并标准化错误信息</t>
  </si>
  <si>
    <t>异常事件</t>
  </si>
  <si>
    <t>错误码、错误消息、异常类型、服务名称、请求ID、用户ID、会话ID、时间戳、堆栈信息、影响范围、关联业务、客户端信息、网络状态</t>
  </si>
  <si>
    <t>读取异常处理配置</t>
  </si>
  <si>
    <t>加载异常处理策略和降级方案</t>
  </si>
  <si>
    <t>异常配置</t>
  </si>
  <si>
    <t>错误码分类、重试策略、降级方案、告警级别、处理超时、通知方式、通知对象、日志级别、恢复策略、熔断阈值、限流配置、降级开关、告警模板、处理流程、责任人、优先级</t>
  </si>
  <si>
    <t>记录异常处理日志</t>
  </si>
  <si>
    <t>记录异常处理的全过程和结果</t>
  </si>
  <si>
    <t>异常日志</t>
  </si>
  <si>
    <t>日志ID、错误码、原始响应、处理动作、处理结果、用户ID、会话标识、处理时间、处理耗时、错误描述、影响范围、处理人、处理状态、恢复时间、告警状态、错误分类</t>
  </si>
  <si>
    <t>返回异常处理结果</t>
  </si>
  <si>
    <t>生成用户友好的错误提示</t>
  </si>
  <si>
    <t>异常输出</t>
  </si>
  <si>
    <t>提示语、错误分类、重试按钮、联系支持链接、错误码、错误描述、建议操作、处理状态、影响范围、预计恢复时间、联系方式、技术支持电话、在线客服链接、帮助文档链接、反馈渠道、错误级别</t>
  </si>
  <si>
    <t>资源预覆盖管理</t>
  </si>
  <si>
    <t>企业信息或地址信息输入</t>
  </si>
  <si>
    <t>发送者：客户经理 接受者：灵犀助手</t>
  </si>
  <si>
    <t>客户经理在LUI对话框输入企业名称或地址</t>
  </si>
  <si>
    <t>接收企业信息</t>
  </si>
  <si>
    <t>捕获用户输入的企业名称、地址等文本信息</t>
  </si>
  <si>
    <t>企业输入</t>
  </si>
  <si>
    <t>企业名称、地址、联系人、联系电话、行业类型、用户ID、会话ID、时间戳、输入方式、客户端类型</t>
  </si>
  <si>
    <t>验证输入格式</t>
  </si>
  <si>
    <t>输入验证规则</t>
  </si>
  <si>
    <t>最大长度、最小长度、字符限制、敏感词库、正则表达式、格式模板、地理编码规则、特殊字符过滤、输入来源校验</t>
  </si>
  <si>
    <t>保存输入记录</t>
  </si>
  <si>
    <t>保存用户输入信息到灵犀助手系统</t>
  </si>
  <si>
    <t>输入ID、用户ID、会话标识、输入内容、输入时间、输入方式、设备信息、处理状态、错误信息、数据版本</t>
  </si>
  <si>
    <t>返回标准化输入</t>
  </si>
  <si>
    <t>输出标准化的企业信息供后续处理</t>
  </si>
  <si>
    <t>标准化输入</t>
  </si>
  <si>
    <t>企业名称、标准地址、GPS坐标、置信度、处理状态、错误信息、建议修正、数据版本、输入来源</t>
  </si>
  <si>
    <t>地图选点</t>
  </si>
  <si>
    <t>地图位置选择</t>
  </si>
  <si>
    <t>客户经理在LUI地图上选择位置</t>
  </si>
  <si>
    <t>接收地图坐标</t>
  </si>
  <si>
    <t>捕获地图点击的经纬度坐标和位置信息</t>
  </si>
  <si>
    <t>地图坐标</t>
  </si>
  <si>
    <t>经度、纬度、精度、用户ID、会话ID、时间戳、设备信息、地图缩放级别、位置名称、地址详情</t>
  </si>
  <si>
    <t>调用地理编码</t>
  </si>
  <si>
    <t>将经纬度转换为标准地址格式</t>
  </si>
  <si>
    <t>地理编码配置</t>
  </si>
  <si>
    <t>API地址、认证密钥、语言类型、超时设置、重试次数、并发限制、数据加密方式、回调地址、日志级别、识别引擎</t>
  </si>
  <si>
    <t>保存地图选点</t>
  </si>
  <si>
    <t>保存地理位置信息到灵犀助手系统</t>
  </si>
  <si>
    <t>地图选点记录</t>
  </si>
  <si>
    <t>选点ID、用户ID、会话标识、经度、纬度、标准地址、选择时间、设备信息、地图级别、处理状态、错误信息</t>
  </si>
  <si>
    <t>返回标准地址</t>
  </si>
  <si>
    <t>输出标准化地址供预覆盖查询使用</t>
  </si>
  <si>
    <t>地图地址输出</t>
  </si>
  <si>
    <t>标准地址、经度、纬度、置信度、位置名称、处理状态、错误信息、数据版本、建议操作</t>
  </si>
  <si>
    <t>文件上传</t>
  </si>
  <si>
    <t>文件上传处理</t>
  </si>
  <si>
    <t>客户经理上传企业相关文档</t>
  </si>
  <si>
    <t>接收文件数据</t>
  </si>
  <si>
    <t>捕获用户上传的文档文件</t>
  </si>
  <si>
    <t>文件内容、文件名、文件类型、文件大小、用户ID、会话ID、时间戳、上传方式、设备信息、网络环境</t>
  </si>
  <si>
    <t>验证文件类型</t>
  </si>
  <si>
    <t>验证上传文件的类型和安全性</t>
  </si>
  <si>
    <t>文件验证规则</t>
  </si>
  <si>
    <t>允许类型、最大大小、病毒扫描、内容检查、格式验证、加密要求、存储策略、日志级别、超时设置、重试策略</t>
  </si>
  <si>
    <t>保存文件数据</t>
  </si>
  <si>
    <t>保存上传文件到灵犀助手系统</t>
  </si>
  <si>
    <t>文件存储</t>
  </si>
  <si>
    <t>文件ID、文件内容、用户ID、会话标识、上传时间、文件大小、文件类型、存储位置、访问权限、安全状态、处理状态</t>
  </si>
  <si>
    <t>返回上传状态</t>
  </si>
  <si>
    <t>输出文件上传的状态和结果</t>
  </si>
  <si>
    <t>上传状态</t>
  </si>
  <si>
    <t>文件ID、上传状态、文件大小、文件类型、用户ID、会话标识、存储位置、安全状态、处理状态、错误信息</t>
  </si>
  <si>
    <t>企业模糊匹配</t>
  </si>
  <si>
    <t>企业名称识别</t>
  </si>
  <si>
    <t>企业信息输入完成后</t>
  </si>
  <si>
    <t>接收模糊匹配请求</t>
  </si>
  <si>
    <t>解析企业名称是否涉及多个企业</t>
  </si>
  <si>
    <t>模糊匹配请求</t>
  </si>
  <si>
    <t>企业名称、地址、用户ID、会话ID、时间戳、上下文信息、历史查询、用户角色、设备信息、网络环境</t>
  </si>
  <si>
    <t>加载匹配模型</t>
  </si>
  <si>
    <t>读取企业名称模糊匹配模型参数和规则库</t>
  </si>
  <si>
    <t>企业模型配置</t>
  </si>
  <si>
    <t>模型版本、模型路径、相似度阈值、特征提取器、停用词表、同义词库、领域词典、训练数据版本、超参数配置、匹配算法</t>
  </si>
  <si>
    <t>执行模糊匹配</t>
  </si>
  <si>
    <t>调用NLP模型识别多个候选企业</t>
  </si>
  <si>
    <t>企业匹配结果</t>
  </si>
  <si>
    <t>候选企业列表、相似度分数、企业ID、关键词提取、实体识别结果、处理耗时、模型版本、用户输入哈希、识别状态、错误信息</t>
  </si>
  <si>
    <t>返回匹配结果</t>
  </si>
  <si>
    <t>格式化候选企业列表供多轮对话选择</t>
  </si>
  <si>
    <t>企业匹配输出</t>
  </si>
  <si>
    <t>候选企业列表、相似度分数、企业ID、匹配状态、错误信息、数据版本、置信度、建议操作、企业数量</t>
  </si>
  <si>
    <t>地址歧义识别</t>
  </si>
  <si>
    <t>地址歧义处理</t>
  </si>
  <si>
    <t>地址信息输入完成后</t>
  </si>
  <si>
    <t>接收歧义请求</t>
  </si>
  <si>
    <t>解析地址是否涉及多个大厦或企业</t>
  </si>
  <si>
    <t>地址歧义请求</t>
  </si>
  <si>
    <t>标准地址、用户ID、会话ID、时间戳、上下文信息、历史查询、行政区划、建筑类型、用户角色、设备信息</t>
  </si>
  <si>
    <t>加载歧义模型</t>
  </si>
  <si>
    <t>读取地址歧义识别模型参数和规则库</t>
  </si>
  <si>
    <t>地址模型配置</t>
  </si>
  <si>
    <t>模型版本、模型路径、歧义阈值、特征提取器、建筑词典、区域词典、同义词库、训练数据版本、超参数配置、识别算法</t>
  </si>
  <si>
    <t>执行歧义识别</t>
  </si>
  <si>
    <t>调用NLP模型识别多个候选地址</t>
  </si>
  <si>
    <t>地址歧义结果</t>
  </si>
  <si>
    <t>候选地址列表、歧义分数、地址ID、建筑信息、企业信息、处理耗时、模型版本、用户输入哈希、识别状态、错误信息</t>
  </si>
  <si>
    <t>返回歧义结果</t>
  </si>
  <si>
    <t>格式化候选地址列表供多轮对话选择</t>
  </si>
  <si>
    <t>地址歧义输出</t>
  </si>
  <si>
    <t>候选地址列表、歧义分数、地址ID、建筑信息、匹配状态、错误信息、数据版本、置信度、建议操作、地址数量</t>
  </si>
  <si>
    <t>企业名称选择</t>
  </si>
  <si>
    <t>系统返回多个候选企业</t>
  </si>
  <si>
    <t>接收企业或地址选择请求</t>
  </si>
  <si>
    <t>启动多轮对话引导用户选择具体企业</t>
  </si>
  <si>
    <t>候选企业列表或地址列表、会话ID、时间戳、选择方式、优先级、展示字段、排序规则、过滤条件、上下文信息</t>
  </si>
  <si>
    <t>读取选择及对话策略</t>
  </si>
  <si>
    <t>获取多轮对话的交互策略</t>
  </si>
  <si>
    <t>对话策略配置</t>
  </si>
  <si>
    <t>对话ID、选择方式、确认方式、超时设置、重试策略、回退策略、提示文案、错误处理、成功处理、取消处理</t>
  </si>
  <si>
    <t>获取选择企业信息</t>
  </si>
  <si>
    <t>生成并展示企业选择对话界面</t>
  </si>
  <si>
    <t>企业选择记录</t>
  </si>
  <si>
    <t>选择ID、用户ID、企业ID、选择时间、选择方式、会话标识、操作结果、耗时、IP地址、设备信息、对话轮次</t>
  </si>
  <si>
    <t>返回选择企业结果</t>
  </si>
  <si>
    <t>企业选择输出</t>
  </si>
  <si>
    <t>企业ID、企业名称、选择状态、用户ID、会话标识、选择时间、展示字段、数据版本、操作状态、对话完成状态</t>
  </si>
  <si>
    <t>多地址选择</t>
  </si>
  <si>
    <t>系统返回多个候选地址</t>
  </si>
  <si>
    <t>接收选择请求</t>
  </si>
  <si>
    <t>启动多轮对话引导用户选择具体地址</t>
  </si>
  <si>
    <t>地址选择请求</t>
  </si>
  <si>
    <t>候选地址列表、用户ID、会话ID、时间戳、选择方式、优先级、展示字段、排序规则、过滤条件、上下文信息</t>
  </si>
  <si>
    <t>读取对话配置</t>
  </si>
  <si>
    <t>获取地址选择的对话策略和展示配置</t>
  </si>
  <si>
    <t>地址对话配置</t>
  </si>
  <si>
    <t>话术模板、选择方式、确认方式、超时设置、重试策略、回退策略、提示文案、错误处理、成功处理、取消处理</t>
  </si>
  <si>
    <t>执行选择对话</t>
  </si>
  <si>
    <t>生成并展示地址选择对话界面</t>
  </si>
  <si>
    <t>地址选择记录</t>
  </si>
  <si>
    <t>选择ID、用户ID、地址ID、选择时间、选择方式、会话标识、操作结果、耗时、IP地址、设备信息、对话轮次</t>
  </si>
  <si>
    <t>返地址选择结果</t>
  </si>
  <si>
    <t>输出用户选择的地址信息</t>
  </si>
  <si>
    <t>地址选择输出</t>
  </si>
  <si>
    <t>地址ID、标准地址、选择状态、用户ID、会话标识、选择时间、展示字段、数据版本、操作状态、对话完成状态</t>
  </si>
  <si>
    <t>地址查询</t>
  </si>
  <si>
    <t>地址查询调用</t>
  </si>
  <si>
    <t>发送者：灵犀助手 接受者：业务支撑系统</t>
  </si>
  <si>
    <t>用户确认具体企业/地址后</t>
  </si>
  <si>
    <t>接收查询请求</t>
  </si>
  <si>
    <t>准备企业/地址查询参数和认证信息</t>
  </si>
  <si>
    <t>业务支撑系统查询请求</t>
  </si>
  <si>
    <t>企业名称、标准地址、查询类型、用户ID、会话ID、时间戳、认证Token、查询参数、超时时间、优先级、来源渠道</t>
  </si>
  <si>
    <t>读取接口配置</t>
  </si>
  <si>
    <t>获取业务支撑系统的接口地址和认证配置</t>
  </si>
  <si>
    <t>业务支撑系统配置</t>
  </si>
  <si>
    <t>查询地址、认证方式、超时时间、重试次数、并发限制、数据加密方式、回调地址、日志级别、服务版本、区域配置</t>
  </si>
  <si>
    <t>调用查询接口</t>
  </si>
  <si>
    <t>向业务支撑系统发送地址查询请求</t>
  </si>
  <si>
    <t>业务支撑系统查询记录</t>
  </si>
  <si>
    <t>请求ID、企业名称、地址、调用时间、响应时间、响应码、返回数据、用户ID、会话标识、调用状态、错误信息、业务流水号</t>
  </si>
  <si>
    <t>返回查询结果</t>
  </si>
  <si>
    <t>格式化业务支撑系统返回的预覆盖信息</t>
  </si>
  <si>
    <t>业务支撑系统查询输出</t>
  </si>
  <si>
    <t>预覆盖状态、覆盖类型、带宽能力、端口数量、建设时间、维护单位、地址详情、查询状态、错误信息、数据版本</t>
  </si>
  <si>
    <t>资源查询</t>
  </si>
  <si>
    <t>资源详情查询</t>
  </si>
  <si>
    <t>用户查询具体资源详情时</t>
  </si>
  <si>
    <t>接收资源请求</t>
  </si>
  <si>
    <t>准备资源详细信息查询参数</t>
  </si>
  <si>
    <t>资源查询请求</t>
  </si>
  <si>
    <t>资源ID、查询类型、用户ID、会话ID、时间戳、认证Token、查询参数、超时时间、优先级、来源渠道</t>
  </si>
  <si>
    <t>读取资源配置</t>
  </si>
  <si>
    <t>获取资源查询接口的配置参数</t>
  </si>
  <si>
    <t>资源查询配置</t>
  </si>
  <si>
    <t>资源地址、认证方式、超时时间、重试次数、并发限制、数据加密方式、回调地址、日志级别、服务版本、区域配置</t>
  </si>
  <si>
    <t>调用资源接口</t>
  </si>
  <si>
    <t>向业务支撑系统发送资源详情查询请求</t>
  </si>
  <si>
    <t>资源查询记录</t>
  </si>
  <si>
    <t>请求ID、资源ID、调用时间、响应时间、响应码、返回数据、用户ID、会话标识、调用状态、错误信息、业务流水号</t>
  </si>
  <si>
    <t>返回资源结果</t>
  </si>
  <si>
    <t>格式化业务支撑系统返回的资源详情</t>
  </si>
  <si>
    <t>资源查询输出</t>
  </si>
  <si>
    <t>资源类型、带宽能力、端口状态、建设时间、维护信息、查询状态、错误信息、数据版本、业务流水号</t>
  </si>
  <si>
    <t>申请提交</t>
  </si>
  <si>
    <t>申请提交调用</t>
  </si>
  <si>
    <t>用户确认提交申请单</t>
  </si>
  <si>
    <t>接收申请请求</t>
  </si>
  <si>
    <t>准备申请数据和认证信息</t>
  </si>
  <si>
    <t>业务支撑系统申请请求</t>
  </si>
  <si>
    <t>申请数据、用户ID、会话ID、时间戳、认证Token、申请参数、超时时间、优先级、来源渠道、业务类型</t>
  </si>
  <si>
    <t>读取申请配置</t>
  </si>
  <si>
    <t>获取业务支撑系统申请接口的连接和认证配置</t>
  </si>
  <si>
    <t>业务支撑系统申请配置</t>
  </si>
  <si>
    <t>申请ID、认证方式、超时时间、重试次数、并发限制、数据加密方式、回调地址、日志级别、服务版本、区域配置</t>
  </si>
  <si>
    <t>调用申请接口</t>
  </si>
  <si>
    <t>向业务支撑系统发送预覆盖申请数据</t>
  </si>
  <si>
    <t>业务支撑系统申请记录</t>
  </si>
  <si>
    <t>请求ID、申请数据、调用时间、响应时间、响应码、返回数据、用户ID、会话标识、调用状态、错误信息、业务流水号</t>
  </si>
  <si>
    <t>返回申请结果</t>
  </si>
  <si>
    <t>格式化业务支撑系统返回的申请提交结果</t>
  </si>
  <si>
    <t>业务支撑系统申请输出</t>
  </si>
  <si>
    <t>申请ID、提交状态、审批流程、预计处理时间、错误信息、数据版本、业务流水号、提交耗时、处理建议</t>
  </si>
  <si>
    <t>申请状态</t>
  </si>
  <si>
    <t>申请状态查询</t>
  </si>
  <si>
    <t>用户查询申请状态时</t>
  </si>
  <si>
    <t>接收状态请求</t>
  </si>
  <si>
    <t>准备申请状态查询参数</t>
  </si>
  <si>
    <t>申请状态请求</t>
  </si>
  <si>
    <t>申请ID、查询类型、用户ID、会话ID、时间戳、认证Token、查询参数、超时时间、优先级、来源渠道</t>
  </si>
  <si>
    <t>读取状态配置</t>
  </si>
  <si>
    <t>获取申请状态查询接口的配置参数</t>
  </si>
  <si>
    <t>申请状态配置</t>
  </si>
  <si>
    <t>申请ID、认证方式、超时时间、重试次数、并发限制、数据加密方式、回调地址、日志级别、服务版本</t>
  </si>
  <si>
    <t>调用状态接口</t>
  </si>
  <si>
    <t>向业务支撑系统发送申请状态查询请求</t>
  </si>
  <si>
    <t>申请状态记录</t>
  </si>
  <si>
    <t>请求ID、申请ID、调用时间、响应时间、响应码、返回数据、用户ID、会话标识、调用状态、错误信息、业务流水号</t>
  </si>
  <si>
    <t>返回状态结果</t>
  </si>
  <si>
    <t>格式化业务支撑系统返回的申请状态信息</t>
  </si>
  <si>
    <t>申请状态输出</t>
  </si>
  <si>
    <t>申请状态、处理进度、预计完成时间、审批人、错误信息、数据版本、业务流水号、查询耗时、处理建议</t>
  </si>
  <si>
    <t>企业画像</t>
  </si>
  <si>
    <t>预覆盖查询结果显示已覆盖</t>
  </si>
  <si>
    <t>接收画像请求</t>
  </si>
  <si>
    <t>准备企业画像查询参数</t>
  </si>
  <si>
    <t>画像查询请求</t>
  </si>
  <si>
    <t>企业ID、用户ID、会话ID、时间戳、查询类型、优先级、上下文信息、用户角色、设备信息、网络环境</t>
  </si>
  <si>
    <t>读取画像配置</t>
  </si>
  <si>
    <t>获取企业画像系统的接口配置</t>
  </si>
  <si>
    <t>画像配置</t>
  </si>
  <si>
    <t>访问地址、认证方式、超时时间、重试次数、并发限制、数据加密方式、回调地址、日志级别、服务版本、区域配置</t>
  </si>
  <si>
    <t>调用画像接口</t>
  </si>
  <si>
    <t>向企业画像系统发送查询请求</t>
  </si>
  <si>
    <t>画像查询记录</t>
  </si>
  <si>
    <t>企业ID、调用时间、响应时间、响应码、返回数据、用户ID、会话标识、调用状态、错误信息、业务流水号</t>
  </si>
  <si>
    <t>返回画像结果</t>
  </si>
  <si>
    <t>格式化企业画像信息供展示</t>
  </si>
  <si>
    <t>画像查询输出</t>
  </si>
  <si>
    <t>企业基本信息、经营状况、通信需求、历史合作、风险评估、画像状态、错误信息、数据版本、置信度、建议操作</t>
  </si>
  <si>
    <t>企业拜访</t>
  </si>
  <si>
    <t>用户选择关联企业拜访</t>
  </si>
  <si>
    <t>接收拜访请求</t>
  </si>
  <si>
    <t>准备企业拜访创建参数</t>
  </si>
  <si>
    <t>拜访创建请求</t>
  </si>
  <si>
    <t>企业ID、用户ID、会话ID、时间戳、拜访类型、优先级、上下文信息、用户角色、设备信息、拜访目的</t>
  </si>
  <si>
    <t>读取拜访配置</t>
  </si>
  <si>
    <t>获取企业拜访系统的接口配置</t>
  </si>
  <si>
    <t>拜访配置</t>
  </si>
  <si>
    <t>企业拜访地址、认证方式、超时时间、重试次数、并发限制、数据加密方式、回调地址、日志级别、服务版本、区域配置</t>
  </si>
  <si>
    <t>调用拜访接口</t>
  </si>
  <si>
    <t>向企业拜访系统发送创建请求</t>
  </si>
  <si>
    <t>拜访创建记录</t>
  </si>
  <si>
    <t>企业拜访请求ID、企业ID、调用时间、响应时间、响应码、返回数据、用户ID、会话标识、调用状态、错误信息、业务流水号</t>
  </si>
  <si>
    <t>返回拜访结果</t>
  </si>
  <si>
    <t>格式化企业拜访创建结果</t>
  </si>
  <si>
    <t>拜访创建输出</t>
  </si>
  <si>
    <t>拜访ID、创建状态、拜访时间、拜访人员、拜访目的、创建状态、错误信息、数据版本、业务流水号、建议操作</t>
  </si>
  <si>
    <t>商机录入</t>
  </si>
  <si>
    <t>商机录入创建</t>
  </si>
  <si>
    <t>用户选择关联商机录入</t>
  </si>
  <si>
    <t>接收商机请求</t>
  </si>
  <si>
    <t>准备商机录入创建参数</t>
  </si>
  <si>
    <t>商机创建请求</t>
  </si>
  <si>
    <t>企业ID、用户ID、会话ID、时间戳、商机类型、优先级、上下文信息、用户角色、设备信息、商机金额</t>
  </si>
  <si>
    <t>读取商机配置</t>
  </si>
  <si>
    <t>获取商机录入系统的接口配置</t>
  </si>
  <si>
    <t>商机配置</t>
  </si>
  <si>
    <t>商机录入接口地址、认证方式、超时时间、重试次数、并发限制、数据加密方式、回调地址、日志级别、服务版本、区域配置</t>
  </si>
  <si>
    <t>调用商机接口</t>
  </si>
  <si>
    <t>向商机录入系统发送创建请求</t>
  </si>
  <si>
    <t>商机创建记录</t>
  </si>
  <si>
    <t>请求ID、企业ID、调用时间、响应时间、响应码、返回数据、用户ID、会话标识、调用状态、错误信息、业务流水号</t>
  </si>
  <si>
    <t>返回商机结果</t>
  </si>
  <si>
    <t>格式化商机录入创建结果</t>
  </si>
  <si>
    <t>商机创建输出</t>
  </si>
  <si>
    <t>商机ID、创建状态、商机金额、商机类型、创建时间、创建状态、错误信息、数据版本、业务流水号、建议操作</t>
  </si>
  <si>
    <t>资源规划</t>
  </si>
  <si>
    <t>资源规划建议</t>
  </si>
  <si>
    <t>预覆盖查询结果显示未覆盖</t>
  </si>
  <si>
    <t>接收规划请求</t>
  </si>
  <si>
    <t>准备资源规划建议参数</t>
  </si>
  <si>
    <t>规划请求</t>
  </si>
  <si>
    <t>企业信息、地址信息、用户ID、会话ID、时间戳、规划类型、优先级、业务类型、资源需求、预算信息</t>
  </si>
  <si>
    <t>读取规划配置</t>
  </si>
  <si>
    <t>获取资源规划系统的接口配置</t>
  </si>
  <si>
    <t>规划配置</t>
  </si>
  <si>
    <t>接口地址、认证方式、超时时间、重试次数、并发限制、数据加密方式、回调地址、日志级别、服务版本、区域配置</t>
  </si>
  <si>
    <t>调用规划接口</t>
  </si>
  <si>
    <t>向资源规划系统发送规划请求</t>
  </si>
  <si>
    <t>规划记录</t>
  </si>
  <si>
    <t>请求ID、企业信息、调用时间、响应时间、响应码、返回数据、用户ID、会话标识、调用状态、错误信息、业务流水号</t>
  </si>
  <si>
    <t>返回规划结果</t>
  </si>
  <si>
    <t>格式化资源规划建议信息</t>
  </si>
  <si>
    <t>规划输出</t>
  </si>
  <si>
    <t>规划方案、预计成本、建设周期、资源需求、规划状态、错误信息、数据版本、业务流水号、建议操作</t>
  </si>
  <si>
    <t>资源覆盖图片上传</t>
  </si>
  <si>
    <t>图片文件上传</t>
  </si>
  <si>
    <t>用户选择上传图片文件</t>
  </si>
  <si>
    <t>接收上传请求</t>
  </si>
  <si>
    <t>捕获用户上传的图片文件</t>
  </si>
  <si>
    <t>图片上传请求</t>
  </si>
  <si>
    <t>文件ID、文件名、文件类型、文件大小、用户ID、会话ID、时间戳、上传方式、设备信息、网络环境</t>
  </si>
  <si>
    <t>读取处理配置</t>
  </si>
  <si>
    <t>获取图片处理的OCR配置和安全策略</t>
  </si>
  <si>
    <t>文件处理配置</t>
  </si>
  <si>
    <t>OCR引擎、识别语言、安全扫描、文件大小限制、格式支持、压缩策略、加密方式、存储策略、日志级别、性能配置</t>
  </si>
  <si>
    <t>保存上传文件</t>
  </si>
  <si>
    <t>保存图片文件到灵犀助手系统</t>
  </si>
  <si>
    <t>文件存储记录</t>
  </si>
  <si>
    <t>文件ID、文件内容、会话标识、上传时间、文件大小、文件类型、存储位置、访问权限、安全状态、处理状态</t>
  </si>
  <si>
    <t>返回上传结果</t>
  </si>
  <si>
    <t>输出文件上传的结果和状态</t>
  </si>
  <si>
    <t>文件上传输出</t>
  </si>
  <si>
    <t>文件ID、上传状态、文件大小、文件类型、用户ID、会话标识、存储位置、安全状态、处理状态</t>
  </si>
  <si>
    <t>资源覆盖图片识别</t>
  </si>
  <si>
    <t>图片内容识别</t>
  </si>
  <si>
    <t>图片文件上传完成后</t>
  </si>
  <si>
    <t>接收识别请求</t>
  </si>
  <si>
    <t>准备图片OCR识别参数</t>
  </si>
  <si>
    <t>图片识别请求</t>
  </si>
  <si>
    <t>文件ID、识别类型、用户ID、会话ID、时间戳、识别语言、优先级、上下文信息、业务类型、设备信息</t>
  </si>
  <si>
    <t>读取OCR配置</t>
  </si>
  <si>
    <t>获取OCR引擎的配置参数</t>
  </si>
  <si>
    <t>OCR引擎、API地址、认证密钥、识别语言、超时设置、重试次数、并发限制、数据加密方式、回调地址、日志级别</t>
  </si>
  <si>
    <t>执行OCR识别</t>
  </si>
  <si>
    <t>调用OCR引擎识别图片中的文字内容</t>
  </si>
  <si>
    <t>识别结果、原始文件ID、用户ID、会话标识、识别时间、识别耗时、识别语言、置信度、处理状态、错误信息</t>
  </si>
  <si>
    <t>返回识别结果</t>
  </si>
  <si>
    <t>输出结构化的识别内容</t>
  </si>
  <si>
    <t>OCR识别输出</t>
  </si>
  <si>
    <t>识别文本、结构化数据、置信度、文件ID、用户ID、会话标识、识别版本、处理状态、错误信息、建议修正</t>
  </si>
  <si>
    <t>资源预覆盖申请表单</t>
  </si>
  <si>
    <t>申请表单创建</t>
  </si>
  <si>
    <t>用户开始资源申请流程</t>
  </si>
  <si>
    <t>接收表单请求</t>
  </si>
  <si>
    <t>准备申请表单的创建参数</t>
  </si>
  <si>
    <t>表单创建请求</t>
  </si>
  <si>
    <t>表单类型、用户ID、会话ID、时间戳、业务类型、优先级、初始数据、上下文信息、设备信息、网络环境</t>
  </si>
  <si>
    <t>读取表单配置</t>
  </si>
  <si>
    <t>获取申请表单的配置信息</t>
  </si>
  <si>
    <t>表单配置</t>
  </si>
  <si>
    <t>表单模板、字段配置、验证规则、业务规则、数据映射、存储策略、日志级别、性能配置、安全策略、版本信息</t>
  </si>
  <si>
    <t>创建申请表单</t>
  </si>
  <si>
    <t>生成申请表单并初始化数据</t>
  </si>
  <si>
    <t>表单记录</t>
  </si>
  <si>
    <t>表单ID、表单数据、用户ID、会话标识、创建时间、表单状态、数据版本、业务类型、错误信息、处理状态</t>
  </si>
  <si>
    <t>返回表单结果</t>
  </si>
  <si>
    <t>输出申请表单的创建状态</t>
  </si>
  <si>
    <t>表单输出</t>
  </si>
  <si>
    <t>表单ID、表单状态、创建时间、用户ID、会话标识、表单数据、错误信息、数据版本、业务流水号、建议操作</t>
  </si>
  <si>
    <t>申请表单提交</t>
  </si>
  <si>
    <t>用户完成表单填写后</t>
  </si>
  <si>
    <t>接收提交请求</t>
  </si>
  <si>
    <t>准备申请表单的提交参数</t>
  </si>
  <si>
    <t>表单提交请求</t>
  </si>
  <si>
    <t>表单ID、表单数据、用户ID、会话ID、时间戳、业务类型、优先级、验证信息、设备信息、网络环境</t>
  </si>
  <si>
    <t>验证表单数据</t>
  </si>
  <si>
    <t>验证申请表单数据的完整性和正确性</t>
  </si>
  <si>
    <t>表单验证规则</t>
  </si>
  <si>
    <t>必填字段、格式验证、业务规则、数据一致性、权限验证、安全校验、数据映射、日志级别、性能配置、错误处理</t>
  </si>
  <si>
    <t>提交申请数据</t>
  </si>
  <si>
    <t>提交申请表单到业务支撑系统</t>
  </si>
  <si>
    <t>表单提交记录</t>
  </si>
  <si>
    <t>提交ID、表单数据、用户ID、会话标识、提交时间、提交状态、业务流水号、错误信息、处理耗时、响应数据</t>
  </si>
  <si>
    <t>返回提交结果</t>
  </si>
  <si>
    <t>输出申请表单的提交状态</t>
  </si>
  <si>
    <t>表单提交输出</t>
  </si>
  <si>
    <t>提交状态、业务流水号、处理结果、错误信息、用户ID、会话标识、提交耗时、建议操作、数据版本、业务状态</t>
  </si>
  <si>
    <t>相似企业推荐</t>
  </si>
  <si>
    <t>同类企业资源推荐</t>
  </si>
  <si>
    <t>用户查询某企业覆盖情况后</t>
  </si>
  <si>
    <t>接收相似请求</t>
  </si>
  <si>
    <t>准备相似企业推荐的参数</t>
  </si>
  <si>
    <t>相似推荐请求</t>
  </si>
  <si>
    <t>企业ID、企业信息、用户ID、会话ID、时间戳、推荐数量、相似度阈值、优先级、业务类型</t>
  </si>
  <si>
    <t>加载相似度模型</t>
  </si>
  <si>
    <t>读取企业相似度计算模型配置</t>
  </si>
  <si>
    <t>相似度模型配置</t>
  </si>
  <si>
    <t>模型版本、相似度算法、特征权重、行业权重、规模权重、距离权重、训练数据版本、超参数配置、性能配置</t>
  </si>
  <si>
    <t>执行相似匹配</t>
  </si>
  <si>
    <t>计算并推荐相似企业的覆盖方案</t>
  </si>
  <si>
    <t>相似推荐结果</t>
  </si>
  <si>
    <t>相似企业列表、相似度分数、覆盖方案、用户ID、推荐时间、推荐耗时、模型版本、置信度、处理状态、错误信息</t>
  </si>
  <si>
    <t>返回相似结果</t>
  </si>
  <si>
    <t>输出相似企业的推荐列表</t>
  </si>
  <si>
    <t>相似推荐输出</t>
  </si>
  <si>
    <t>相似企业列表、相似度分数、覆盖方案、用户ID、推荐版本、处理状态、错误信息、建议操作</t>
  </si>
  <si>
    <t>资源需求预测</t>
  </si>
  <si>
    <t>覆盖需求趋势预测</t>
  </si>
  <si>
    <t>用户查看区域覆盖情况时</t>
  </si>
  <si>
    <t>接收预测请求</t>
  </si>
  <si>
    <t>准备资源需求预测的参数</t>
  </si>
  <si>
    <t>预测请求</t>
  </si>
  <si>
    <t>区域信息、时间范围、用户ID、会话ID、时间戳、预测类型、优先级、业务类型、历史数据、预测粒度</t>
  </si>
  <si>
    <t>加载预测模型</t>
  </si>
  <si>
    <t>读取资源需求预测模型配置</t>
  </si>
  <si>
    <t>预测模型配置</t>
  </si>
  <si>
    <t>模型版本、预测算法、时间窗口、特征权重、训练数据版本、超参数配置、性能配置、日志级别</t>
  </si>
  <si>
    <t>执行需求预测</t>
  </si>
  <si>
    <t>调用预测引擎计算未来资源需求</t>
  </si>
  <si>
    <t>预测结果</t>
  </si>
  <si>
    <t>预测数据、趋势分析、用户ID、预测时间、预测耗时、模型版本、置信区间、处理状态、错误信息、数据版本</t>
  </si>
  <si>
    <t>返回预测结果</t>
  </si>
  <si>
    <t>输出资源需求的预测分析</t>
  </si>
  <si>
    <t>预测输出</t>
  </si>
  <si>
    <t>预测趋势图表、需求分析、置信区间、用户ID、预测版本、处理状态、错误信息、建议操作</t>
  </si>
  <si>
    <t>建设周期预测</t>
  </si>
  <si>
    <t>资源建设时间预测</t>
  </si>
  <si>
    <t>用户提交资源申请后</t>
  </si>
  <si>
    <t>接收建设请求</t>
  </si>
  <si>
    <t>准备建设周期预测的参数</t>
  </si>
  <si>
    <t>建设预测请求</t>
  </si>
  <si>
    <t>申请信息、资源类型、用户ID、会话ID、时间戳、预测类型、优先级、业务类型、历史数据</t>
  </si>
  <si>
    <t>加载建设模型</t>
  </si>
  <si>
    <t>读取建设周期预测模型配置</t>
  </si>
  <si>
    <t>建设预测配置</t>
  </si>
  <si>
    <t>模型版本、预测算法、资源类型权重、区域权重、季节权重、历史数据版本、超参数配置、性能配置</t>
  </si>
  <si>
    <t>执行建设预测</t>
  </si>
  <si>
    <t>计算资源建设的预计时间</t>
  </si>
  <si>
    <t>建设预测结果</t>
  </si>
  <si>
    <t>预计建设时间、时间范围、用户ID、预测时间、预测耗时、模型版本、置信区间、处理状态、错误信息</t>
  </si>
  <si>
    <t>返回建设结果</t>
  </si>
  <si>
    <t>输出建设周期的预测信息</t>
  </si>
  <si>
    <t>建设预测输出</t>
  </si>
  <si>
    <t>预计建设时间、时间范围、置信区间、用户ID、预测版本、处理状态、错误信息、建议操作</t>
  </si>
  <si>
    <t>企业-地址关联</t>
  </si>
  <si>
    <t>企业地址关系构建</t>
  </si>
  <si>
    <t>发送者：系统 接受者：灵犀助手</t>
  </si>
  <si>
    <t>系统检测到新企业数据时</t>
  </si>
  <si>
    <t>接收构建请求</t>
  </si>
  <si>
    <t>准备企业-地址关系构建参数</t>
  </si>
  <si>
    <t>关系构建请求</t>
  </si>
  <si>
    <t>企业数据、地址数据、用户ID、会话ID、时间戳、构建类型、优先级、业务类型、数据来源</t>
  </si>
  <si>
    <t>读取图谱配置</t>
  </si>
  <si>
    <t>获取知识图谱的构建策略配置</t>
  </si>
  <si>
    <t>图谱配置</t>
  </si>
  <si>
    <t>图谱类型、关系类型、实体类型、构建算法、更新策略、性能配置、监控配置、日志级别</t>
  </si>
  <si>
    <t>执行关系构建</t>
  </si>
  <si>
    <t>构建企业与地址的知识图谱关系</t>
  </si>
  <si>
    <t>关系构建记录</t>
  </si>
  <si>
    <t>构建结果、关系数据、用户ID、构建时间、构建耗时、图谱版本、处理状态、错误信息、数据完整性</t>
  </si>
  <si>
    <t>返回构建结果</t>
  </si>
  <si>
    <t>输出知识图谱构建的状态</t>
  </si>
  <si>
    <t>关系构建输出</t>
  </si>
  <si>
    <t>图谱状态、关系数量、用户ID、图谱版本、构建耗时、错误信息、建议操作、数据完整性</t>
  </si>
  <si>
    <t>资源关联查询</t>
  </si>
  <si>
    <t>图谱资源查询</t>
  </si>
  <si>
    <t>用户查询企业资源关联时</t>
  </si>
  <si>
    <t>接收资源关系请求</t>
  </si>
  <si>
    <t>准备知识图谱查询参数</t>
  </si>
  <si>
    <t>图谱查询请求</t>
  </si>
  <si>
    <t>查询条件、实体类型、关系类型、用户ID、会话ID、时间戳、查询深度、优先级、业务类型</t>
  </si>
  <si>
    <t>执行图谱查询</t>
  </si>
  <si>
    <t>在知识图谱中查询资源关联关系</t>
  </si>
  <si>
    <t>图谱查询记录</t>
  </si>
  <si>
    <t>查询结果、关联数据、用户ID、查询时间、查询耗时、图谱版本、处理状态、错误信息、数据完整性</t>
  </si>
  <si>
    <t>更新查询统计</t>
  </si>
  <si>
    <t>更新知识图谱查询的统计信息</t>
  </si>
  <si>
    <t>查询统计记录</t>
  </si>
  <si>
    <t>查询次数、用户ID、查询时间、查询类型、查询耗时、统计版本、处理状态、错误信息、数据版本</t>
  </si>
  <si>
    <t>返回资源关联结果</t>
  </si>
  <si>
    <t>输出知识图谱的查询结果</t>
  </si>
  <si>
    <t>图谱查询输出</t>
  </si>
  <si>
    <t>关联企业列表、资源信息、关系路径、用户ID、图谱版本、查询耗时、错误信息、建议操作</t>
  </si>
  <si>
    <t>上下文记忆</t>
  </si>
  <si>
    <t>对话上下文存储</t>
  </si>
  <si>
    <t>用户进行多轮对话时</t>
  </si>
  <si>
    <t>接收存储请求</t>
  </si>
  <si>
    <t>准备对话上下文的存储参数</t>
  </si>
  <si>
    <t>上下文存储请求</t>
  </si>
  <si>
    <t>对话内容、用户ID、会话ID、时间戳、上下文类型、优先级、业务类型、对话轮次、实体信息</t>
  </si>
  <si>
    <t>读取上下文参数</t>
  </si>
  <si>
    <t>获取对话上下文的管理策略配置</t>
  </si>
  <si>
    <t>存储策略、过期时间、压缩方式、加密方式、性能配置、监控配置、日志级别</t>
  </si>
  <si>
    <t>执行上下文存储</t>
  </si>
  <si>
    <t>存储对话上下文到记忆库</t>
  </si>
  <si>
    <t>上下文内容、用户ID、会话标识、存储时间、过期时间、上下文状态、访问次数、最后访问时间、数据版本</t>
  </si>
  <si>
    <t>返回存储状态</t>
  </si>
  <si>
    <t>输出上下文存储的状态</t>
  </si>
  <si>
    <t>存储状态、用户ID、上下文版本、存储耗时、错误信息、建议操作、数据完整性</t>
  </si>
  <si>
    <t>上下文恢复</t>
  </si>
  <si>
    <t>对话上下文读取</t>
  </si>
  <si>
    <t>用户继续之前的对话时</t>
  </si>
  <si>
    <t>接收读取请求</t>
  </si>
  <si>
    <t>准备对话上下文的读取参数</t>
  </si>
  <si>
    <t>上下文读取请求</t>
  </si>
  <si>
    <t>会话ID、用户ID、时间戳、读取类型、优先级、业务类型、上下文范围</t>
  </si>
  <si>
    <t>执行上下文读取</t>
  </si>
  <si>
    <t>从记忆库读取对话上下文</t>
  </si>
  <si>
    <t>上下文读取记录</t>
  </si>
  <si>
    <t>读取结果、上下文内容、用户ID、读取时间、读取耗时、上下文状态、数据版本、错误信息、数据完整性</t>
  </si>
  <si>
    <t>返回上下文内容</t>
  </si>
  <si>
    <t>输出对话上下文信息</t>
  </si>
  <si>
    <t>上下文读取输出</t>
  </si>
  <si>
    <t>上下文内容、用户ID、上下文版本、读取耗时、错误信息、建议操作、数据完整性</t>
  </si>
  <si>
    <t>智能路由</t>
  </si>
  <si>
    <t>对话场景智能识别</t>
  </si>
  <si>
    <t>用户开始对话时</t>
  </si>
  <si>
    <t>场景识别请求</t>
  </si>
  <si>
    <t>准备场景识别的输入参数</t>
  </si>
  <si>
    <t>对话内容、用户ID、会话ID、时间戳、识别类型、优先级、业务类型、历史上下文</t>
  </si>
  <si>
    <t>加载场景模型</t>
  </si>
  <si>
    <t>读取场景识别模型的配置参数</t>
  </si>
  <si>
    <t>场景模型配置</t>
  </si>
  <si>
    <t>模型版本、识别算法、场景分类、特征权重、训练数据版本、超参数配置、性能配置、日志级别</t>
  </si>
  <si>
    <t>执行场景模型识别</t>
  </si>
  <si>
    <t>识别用户对话的业务场景类型</t>
  </si>
  <si>
    <t>场景识别结果</t>
  </si>
  <si>
    <t>场景类型、置信度、用户ID、识别时间、识别耗时、模型版本、处理状态、错误信息、数据版本</t>
  </si>
  <si>
    <t>返回路由结果</t>
  </si>
  <si>
    <t>输出识别的场景类型</t>
  </si>
  <si>
    <t>场景识别输出</t>
  </si>
  <si>
    <t>场景类型、置信度、用户ID、识别版本、处理状态、错误信息、建议操作</t>
  </si>
  <si>
    <t>用户情绪识别</t>
  </si>
  <si>
    <t>对话情绪分析</t>
  </si>
  <si>
    <t>用户进行对话时</t>
  </si>
  <si>
    <t>接收分析请求</t>
  </si>
  <si>
    <t>准备情感分析的输入参数</t>
  </si>
  <si>
    <t>情感分析请求</t>
  </si>
  <si>
    <t>对话文本、用户ID、会话ID、时间戳、分析类型、优先级、业务类型、情感维度</t>
  </si>
  <si>
    <t>加载情感模型</t>
  </si>
  <si>
    <t>读取情感分析模型的配置参数</t>
  </si>
  <si>
    <t>情感模型配置</t>
  </si>
  <si>
    <t>模型版本、分析算法、情感分类、特征权重、训练数据版本、超参数配置、性能配置、日志级别</t>
  </si>
  <si>
    <t>执行情感分析</t>
  </si>
  <si>
    <t>分析用户对话的情绪状态</t>
  </si>
  <si>
    <t>情感分析结果</t>
  </si>
  <si>
    <t>情感类型、情感强度、用户ID、分析时间、分析耗时、模型版本、置信度、处理状态、错误信息</t>
  </si>
  <si>
    <t>返回分析结果</t>
  </si>
  <si>
    <t>输出用户的情绪状态</t>
  </si>
  <si>
    <t>情感分析输出</t>
  </si>
  <si>
    <t>情感类型、情感强度、用户ID、分析版本、处理状态、错误信息、建议操作</t>
  </si>
  <si>
    <t>会话画像学习</t>
  </si>
  <si>
    <t>用户完成对话后</t>
  </si>
  <si>
    <t>接收会话画像学习请求</t>
  </si>
  <si>
    <t>准备偏好学习的输入参数</t>
  </si>
  <si>
    <t>偏好学习请求</t>
  </si>
  <si>
    <t>对话历史、用户行为、用户ID、会话ID、时间戳、学习类型、优先级、业务类型、学习周期</t>
  </si>
  <si>
    <t>加载学习模型</t>
  </si>
  <si>
    <t>读取个性化学习模型的配置参数</t>
  </si>
  <si>
    <t>学习模型配置</t>
  </si>
  <si>
    <t>模型版本、学习算法、特征权重、更新策略、训练数据版本、超参数配置、性能配置、日志级别</t>
  </si>
  <si>
    <t>至于画像及会话学习对话偏好和习惯</t>
  </si>
  <si>
    <t>学习用户的对话偏好和习惯</t>
  </si>
  <si>
    <t>偏好学习结果</t>
  </si>
  <si>
    <t>用户偏好、学习权重、用户ID、学习时间、学习耗时、模型版本、置信度、处理状态、错误信息</t>
  </si>
  <si>
    <t>返回学习结果</t>
  </si>
  <si>
    <t>输出学习到的用户偏好</t>
  </si>
  <si>
    <t>偏好学习输出</t>
  </si>
  <si>
    <t>用户偏好、置信度、用户ID、学习版本、处理状态、错误信息、建议操作</t>
  </si>
  <si>
    <t>长期记忆存储</t>
  </si>
  <si>
    <t>企业历史记忆</t>
  </si>
  <si>
    <t>企业查询完成后</t>
  </si>
  <si>
    <t>获取企业历史记忆请求</t>
  </si>
  <si>
    <t>提取企业查询中的重要信息</t>
  </si>
  <si>
    <t>企业记忆请求</t>
  </si>
  <si>
    <t>企业ID、查询历史、用户偏好、重要地址、用户ID、会话ID、时间戳、记忆类型、优先级、有效期</t>
  </si>
  <si>
    <t>读取记忆参数</t>
  </si>
  <si>
    <t>获取企业记忆的存储策略配置</t>
  </si>
  <si>
    <t>企业记忆配置</t>
  </si>
  <si>
    <t>存储类型、索引策略、分区策略、备份策略、归档策略、清理策略、压缩方式、加密方式、监控配置、日志级别</t>
  </si>
  <si>
    <t>存储企业历史数据</t>
  </si>
  <si>
    <t>将企业信息持久化到长期记忆库</t>
  </si>
  <si>
    <t>企业记忆记录</t>
  </si>
  <si>
    <t>记忆内容、用户ID、记忆类型、创建时间、过期时间、索引信息、数据版本、存储位置、访问次数、最后访问时间</t>
  </si>
  <si>
    <t>返回存储结果</t>
  </si>
  <si>
    <t>输出企业记忆的存储状态</t>
  </si>
  <si>
    <t>企业记忆输出</t>
  </si>
  <si>
    <t>记忆内容、索引状态、存储位置、数据版本、创建时间、过期时间、访问次数、存储状态、清理时间、归档状态</t>
  </si>
  <si>
    <t>系统异常处理</t>
  </si>
  <si>
    <t>系统发生错误时</t>
  </si>
  <si>
    <t>获取异常事件</t>
  </si>
  <si>
    <t>错误码、错误消息、异常类型、服务名称、请求ID、用户ID、会话ID、时间戳、堆栈信息、影响范围、关联业务</t>
  </si>
  <si>
    <t>读取异常配置</t>
  </si>
  <si>
    <t>错误码分类、重试策略、降级方案、告警级别、处理超时、通知方式、通知对象、日志级别、恢复策略</t>
  </si>
  <si>
    <t>记录异常日志</t>
  </si>
  <si>
    <t>日志ID、错误码、原始响应、处理动作、处理结果、用户ID、会话标识、处理时间、处理耗时、错误描述</t>
  </si>
  <si>
    <t>返回异常结果</t>
  </si>
  <si>
    <t>提示语、错误分类、重试按钮、联系支持链接、错误码、错误描述、建议操作、处理状态、影响范围、预计恢复时间</t>
  </si>
  <si>
    <t>业务规则校验</t>
  </si>
  <si>
    <t>业务规则校验失败时</t>
  </si>
  <si>
    <t>接收业务异常</t>
  </si>
  <si>
    <t>捕获业务规则校验失败的异常</t>
  </si>
  <si>
    <t>业务异常</t>
  </si>
  <si>
    <t>规则ID、错误描述、业务类型、用户ID、会话ID、时间戳、影响数据、严重级别、处理建议、关联业务</t>
  </si>
  <si>
    <t>读取业务规则</t>
  </si>
  <si>
    <t>获取业务规则的详细定义和处理策略</t>
  </si>
  <si>
    <t>业务规则配置</t>
  </si>
  <si>
    <t>规则类型、处理策略、降级方案、告警级别、处理超时、通知方式、通知对象、日志级别、恢复策略</t>
  </si>
  <si>
    <t>记录业务异常</t>
  </si>
  <si>
    <t>记录业务异常的处理过程</t>
  </si>
  <si>
    <t>业务异常日志</t>
  </si>
  <si>
    <t>日志ID、规则ID、原始数据、处理动作、处理结果、用户ID、会话标识、处理时间、处理耗时、错误描述</t>
  </si>
  <si>
    <t>返回业务结果</t>
  </si>
  <si>
    <t>生成业务规则校验的错误提示</t>
  </si>
  <si>
    <t>业务异常输出</t>
  </si>
  <si>
    <t>提示语、规则类型、重试建议、联系支持链接、错误码、错误描述、建议操作、处理状态、影响范围</t>
  </si>
  <si>
    <t>数据安全</t>
  </si>
  <si>
    <t>敏感数据加密</t>
  </si>
  <si>
    <t>处理敏感数据时</t>
  </si>
  <si>
    <t>接收加密请求</t>
  </si>
  <si>
    <t>准备敏感数据的加密参数</t>
  </si>
  <si>
    <t>加密请求</t>
  </si>
  <si>
    <t>敏感数据、数据类型、加密级别、用户ID、会话ID、时间戳、业务类型、加密算法、密钥ID、安全级别</t>
  </si>
  <si>
    <t>读取加密配置</t>
  </si>
  <si>
    <t>获取数据加密的策略和算法配置</t>
  </si>
  <si>
    <t>加密配置</t>
  </si>
  <si>
    <t>加密算法、密钥管理、加密级别、性能配置、安全策略、日志级别、监控配置、备份策略、恢复策略、合规要求</t>
  </si>
  <si>
    <t>执行数据加密</t>
  </si>
  <si>
    <t>对敏感数据进行加密处理</t>
  </si>
  <si>
    <t>加密记录</t>
  </si>
  <si>
    <t>加密数据、原始数据、用户ID、处理时间、加密耗时、加密版本、处理状态、错误信息、密钥ID、数据完整性</t>
  </si>
  <si>
    <t>返回加密结果</t>
  </si>
  <si>
    <t>输出数据加密的状态和结果</t>
  </si>
  <si>
    <t>加密输出</t>
  </si>
  <si>
    <t>加密状态、加密数据、用户ID、会话标识、加密耗时、错误信息、建议操作、数据完整性、密钥ID、安全级别</t>
  </si>
  <si>
    <t>集团资源识别（云夹）</t>
  </si>
  <si>
    <t>拍照采集</t>
  </si>
  <si>
    <t>证件拍照识别</t>
  </si>
  <si>
    <t>客户经理在灵犀助手点击拍照按钮</t>
  </si>
  <si>
    <t>接收拍照指令</t>
  </si>
  <si>
    <t>捕获用户拍照指令</t>
  </si>
  <si>
    <t>拍照指令</t>
  </si>
  <si>
    <t>指令类型、用户ID、时间戳、设备信息、操作类型、业务场景、权限级别、会话标识</t>
  </si>
  <si>
    <t>读取相机配置</t>
  </si>
  <si>
    <t>获取移动端相机硬件配置</t>
  </si>
  <si>
    <t>相机配置</t>
  </si>
  <si>
    <t>相机型号、分辨率范围、对焦模式、闪光灯状态、曝光补偿、白平衡、图像格式、存储路径</t>
  </si>
  <si>
    <t>执行拍照操作</t>
  </si>
  <si>
    <t>调用手机相机API进行证件拍照</t>
  </si>
  <si>
    <t>拍照记录</t>
  </si>
  <si>
    <t>照片ID、原始图像、拍摄时间、拍摄位置、设备型号、用户ID、业务类型、图像质量</t>
  </si>
  <si>
    <t>返回拍照结果</t>
  </si>
  <si>
    <t>输出拍照完成状态和图像预览</t>
  </si>
  <si>
    <t>拍照输出</t>
  </si>
  <si>
    <t>图像预览、拍摄状态、照片ID、文件大小、拍摄角度、光线条件、用户反馈、处理时间</t>
  </si>
  <si>
    <t>相册选择</t>
  </si>
  <si>
    <t>文件相册导入</t>
  </si>
  <si>
    <t>客户经理选择从相册导入文件</t>
  </si>
  <si>
    <t>接收相册导入请求</t>
  </si>
  <si>
    <t>捕获用户相册选择指令</t>
  </si>
  <si>
    <t>相册请求</t>
  </si>
  <si>
    <t>文件类型、选择模式、用户ID、时间戳、操作权限、业务标识、会话ID、选择数量</t>
  </si>
  <si>
    <t>读取相册导入配置</t>
  </si>
  <si>
    <t>获取手机相册访问权限</t>
  </si>
  <si>
    <t>相册配置</t>
  </si>
  <si>
    <t>访问权限、文件类型白名单、大小限制、存储路径、排序规则、筛选条件、缓存策略、预览设置</t>
  </si>
  <si>
    <t>执行文件导入</t>
  </si>
  <si>
    <t>调用系统相册API选择文件</t>
  </si>
  <si>
    <t>相册选择记录</t>
  </si>
  <si>
    <t>文件ID、文件路径、选择时间、文件大小、文件类型、用户ID、业务场景、操作状态</t>
  </si>
  <si>
    <t>返回导入结果</t>
  </si>
  <si>
    <t>输出相册选择的文件信息</t>
  </si>
  <si>
    <t>相册输出</t>
  </si>
  <si>
    <t>文件列表、选择状态、文件大小、文件格式、预览图像、元数据、用户标识、处理时间</t>
  </si>
  <si>
    <t>扫描识别</t>
  </si>
  <si>
    <t>文档扫描处理</t>
  </si>
  <si>
    <t>客户经理使用扫描功能拍摄文档</t>
  </si>
  <si>
    <t>接收扫描指令</t>
  </si>
  <si>
    <t>捕获用户扫描指令</t>
  </si>
  <si>
    <t>扫描指令</t>
  </si>
  <si>
    <t>文档类型、扫描模式、用户ID、时间戳、扫描质量、边缘检测、图像增强、处理优先级</t>
  </si>
  <si>
    <t>加载扫描模型</t>
  </si>
  <si>
    <t>读取文档扫描的AI模型参数</t>
  </si>
  <si>
    <t>扫描模型配置</t>
  </si>
  <si>
    <t>模型版本、边缘检测算法、图像增强参数、分辨率设置、色彩校正、畸变校正、噪声抑制、处理速度</t>
  </si>
  <si>
    <t>执行文档扫描</t>
  </si>
  <si>
    <t>调用扫描引擎进行文档边缘检测</t>
  </si>
  <si>
    <t>扫描记录</t>
  </si>
  <si>
    <t>扫描ID、原始图像、优化图像、用户ID、扫描时间、文档类型、质量评分、处理状态</t>
  </si>
  <si>
    <t>返回扫描结果</t>
  </si>
  <si>
    <t>输出扫描完成的文档图像</t>
  </si>
  <si>
    <t>扫描输出</t>
  </si>
  <si>
    <t>优化图像、质量评分、用户ID、文件大小、格式类型、预览信息、元数据、处理时间</t>
  </si>
  <si>
    <t>证件识别</t>
  </si>
  <si>
    <t>营业执照识别</t>
  </si>
  <si>
    <t>用户上传营业执照图片</t>
  </si>
  <si>
    <t>接收营业执照识别请求</t>
  </si>
  <si>
    <t>捕获营业执照识别请求</t>
  </si>
  <si>
    <t>证件识别请求</t>
  </si>
  <si>
    <t>图像数据、证件类型、用户ID、时间戳、识别模式、置信度阈值、业务场景、会话标识</t>
  </si>
  <si>
    <t>加载营业执照模型</t>
  </si>
  <si>
    <t>读取营业执照识别的深度学习模型</t>
  </si>
  <si>
    <t>营业执照模型配置</t>
  </si>
  <si>
    <t>模型版本、识别算法、字段配置、训练数据、置信度阈值、图像预处理、后处理规则、性能参数</t>
  </si>
  <si>
    <t>执行营业执照识别</t>
  </si>
  <si>
    <t>调用AI引擎识别营业执照字段</t>
  </si>
  <si>
    <t>营业执照识别记录</t>
  </si>
  <si>
    <t>识别ID、识别结果、置信度、用户ID、识别时间、字段映射、错误信息、处理状态</t>
  </si>
  <si>
    <t>返回营业执照识别结果</t>
  </si>
  <si>
    <t>输出营业执照结构化数据</t>
  </si>
  <si>
    <t>营业执照识别输出</t>
  </si>
  <si>
    <t>统一信用代码、企业名称、法人姓名、注册地址、注册资本、成立日期、营业期限、经营范围</t>
  </si>
  <si>
    <t>法人身份证识别</t>
  </si>
  <si>
    <t>用户上传法人身份证图片</t>
  </si>
  <si>
    <t>接收法人身份识别请求</t>
  </si>
  <si>
    <t>捕获法人身份证识别请求</t>
  </si>
  <si>
    <t>身份证识别请求</t>
  </si>
  <si>
    <t>图像数据、证件面类型、用户ID、时间戳、识别精度、业务类型、会话ID、处理优先级</t>
  </si>
  <si>
    <t>加载身份证模型</t>
  </si>
  <si>
    <t>读取身份证识别的深度学习模型</t>
  </si>
  <si>
    <t>身份证模型配置</t>
  </si>
  <si>
    <t>模型版本、识别算法、字段配置、正反面检测、图像增强、噪声过滤、置信度计算、性能优化</t>
  </si>
  <si>
    <t>执行身份证识别</t>
  </si>
  <si>
    <t>调用AI引擎识别身份证字段</t>
  </si>
  <si>
    <t>身份证识别记录</t>
  </si>
  <si>
    <t>识别ID、识别结果、置信度、用户ID、识别时间、字段完整性、错误校验、处理状态</t>
  </si>
  <si>
    <t>返回身份识别结果</t>
  </si>
  <si>
    <t>输出法人身份证结构化数据</t>
  </si>
  <si>
    <t>身份证识别输出</t>
  </si>
  <si>
    <t>姓名、身份证号、出生日期、性别、民族、住址、签发机关、有效期限</t>
  </si>
  <si>
    <t>组织机构代码证识别</t>
  </si>
  <si>
    <t>用户上传组织机构代码证图片</t>
  </si>
  <si>
    <t>接收机构识别请求</t>
  </si>
  <si>
    <t>捕获组织机构代码证识别请求</t>
  </si>
  <si>
    <t>组织机构识别请求</t>
  </si>
  <si>
    <t>图像数据、证件类型、用户ID、时间戳、识别模式、质量要求、业务标识、会话信息</t>
  </si>
  <si>
    <t>加载组织机构模型</t>
  </si>
  <si>
    <t>读取组织机构代码证识别模型</t>
  </si>
  <si>
    <t>组织机构模型配置</t>
  </si>
  <si>
    <t>模型版本、识别算法、字段配置、图像预处理、置信度阈值、错误校验、性能参数、更新机制</t>
  </si>
  <si>
    <t>执行组织机构识别</t>
  </si>
  <si>
    <t>调用AI引擎识别组织机构字段</t>
  </si>
  <si>
    <t>组织机构识别记录</t>
  </si>
  <si>
    <t>识别ID、识别结果、置信度、用户ID、识别时间、字段映射、校验结果、处理状态</t>
  </si>
  <si>
    <t>返回机构识别结果</t>
  </si>
  <si>
    <t>输出组织机构代码证结构化数据</t>
  </si>
  <si>
    <t>组织机构识别输出</t>
  </si>
  <si>
    <t>组织机构代码、机构名称、有效期限、发证机关、机构类型、地址信息、联系人、联系电话</t>
  </si>
  <si>
    <t>场景识别</t>
  </si>
  <si>
    <t>电子协议识别</t>
  </si>
  <si>
    <t>用户上传电子协议文件</t>
  </si>
  <si>
    <t>接收协议识别请求</t>
  </si>
  <si>
    <t>捕获电子协议识别请求</t>
  </si>
  <si>
    <t>协议识别请求</t>
  </si>
  <si>
    <t>文件数据、协议类型、用户ID、时间戳、识别精度、业务场景、会话标识、处理优先级</t>
  </si>
  <si>
    <t>加载协议模型</t>
  </si>
  <si>
    <t>读取电子协议识别模型配置</t>
  </si>
  <si>
    <t>协议模型配置</t>
  </si>
  <si>
    <t>模型版本、识别算法、字段映射、文本提取、表格识别、签名检测、条款分析、性能优化</t>
  </si>
  <si>
    <t>执行协议识别</t>
  </si>
  <si>
    <t>调用AI引擎识别协议关键字段</t>
  </si>
  <si>
    <t>协议识别记录</t>
  </si>
  <si>
    <t>识别ID、协议内容、置信度、用户ID、识别时间、字段完整性、错误信息、处理状态</t>
  </si>
  <si>
    <t>返回协议结果</t>
  </si>
  <si>
    <t>输出电子协议结构化数据</t>
  </si>
  <si>
    <t>协议识别输出</t>
  </si>
  <si>
    <t>协议编号、签约方、金额、期限、条款内容、签名信息、签署日期、法律效力</t>
  </si>
  <si>
    <t>合同转订单</t>
  </si>
  <si>
    <t>用户上传销售合同</t>
  </si>
  <si>
    <t>接收合同转订单请求</t>
  </si>
  <si>
    <t>捕获合同转订单请求</t>
  </si>
  <si>
    <t>合同转订单请求</t>
  </si>
  <si>
    <t>合同数据、业务类型、用户ID、时间戳、转换规则、优先级、会话标识、处理要求</t>
  </si>
  <si>
    <t>加载订单模型</t>
  </si>
  <si>
    <t>读取合同转订单模型配置</t>
  </si>
  <si>
    <t>订单模型配置</t>
  </si>
  <si>
    <t>模型版本、转换规则、字段映射、数据校验、业务逻辑、错误处理、性能参数、更新机制</t>
  </si>
  <si>
    <t>执行合同转换</t>
  </si>
  <si>
    <t>调用AI引擎转换合同为订单</t>
  </si>
  <si>
    <t>合同转换记录</t>
  </si>
  <si>
    <t>转换ID、订单数据、置信度、用户ID、转换时间、字段映射、校验结果、处理状态</t>
  </si>
  <si>
    <t>返回订单结果</t>
  </si>
  <si>
    <t>输出订单结构化数据</t>
  </si>
  <si>
    <t>订单识别输出</t>
  </si>
  <si>
    <t>订单编号、客户信息、产品明细、金额、数量、单价、折扣、总金额</t>
  </si>
  <si>
    <t>授权书识别</t>
  </si>
  <si>
    <t>用户上传授权书文件</t>
  </si>
  <si>
    <t>接收授权书识别请求</t>
  </si>
  <si>
    <t>捕获授权书识别请求</t>
  </si>
  <si>
    <t>授权书识别请求</t>
  </si>
  <si>
    <t>文件数据、授权类型、用户ID、时间戳、识别模式、业务场景、会话ID、处理优先级</t>
  </si>
  <si>
    <t>加载授权书模型</t>
  </si>
  <si>
    <t>读取授权书识别模型配置</t>
  </si>
  <si>
    <t>授权书模型配置</t>
  </si>
  <si>
    <t>模型版本、识别算法、字段映射、签名检测、有效期验证、权限校验、错误处理、性能优化</t>
  </si>
  <si>
    <t>执行授权书识别</t>
  </si>
  <si>
    <t>调用AI引擎识别授权书字段</t>
  </si>
  <si>
    <t>授权书识别记录</t>
  </si>
  <si>
    <t>识别ID、授权内容、置信度、用户ID、识别时间、字段完整性、校验结果、处理状态</t>
  </si>
  <si>
    <t>返回授权书结果</t>
  </si>
  <si>
    <t>输出授权书结构化数据</t>
  </si>
  <si>
    <t>授权书识别输出</t>
  </si>
  <si>
    <t>授权人、被授权人、授权范围、有效期、签署日期、授权类型、法律效力、限制条件</t>
  </si>
  <si>
    <t>文件分类</t>
  </si>
  <si>
    <t>智能文件分类</t>
  </si>
  <si>
    <t>用户上传未知类型文件</t>
  </si>
  <si>
    <t>接收分类请求</t>
  </si>
  <si>
    <t>捕获文件分类请求</t>
  </si>
  <si>
    <t>文件分类请求</t>
  </si>
  <si>
    <t>文件内容、文件类型、用户ID、时间戳、分类精度、业务场景、会话标识、处理要求</t>
  </si>
  <si>
    <t>加载分类模型</t>
  </si>
  <si>
    <t>读取文件智能分类模型配置</t>
  </si>
  <si>
    <t>文件分类模型配置</t>
  </si>
  <si>
    <t>模型版本、分类算法、类别配置、特征提取、置信度计算、多类别支持、性能优化、更新机制</t>
  </si>
  <si>
    <t>执行文件分类</t>
  </si>
  <si>
    <t>调用AI引擎对文件进行分类</t>
  </si>
  <si>
    <t>文件分类记录</t>
  </si>
  <si>
    <t>分类ID、分类结果、置信度、用户ID、分类时间、类别映射、错误信息、处理状态</t>
  </si>
  <si>
    <t>返回分类结果</t>
  </si>
  <si>
    <t>输出文件分类结果</t>
  </si>
  <si>
    <t>文件分类输出</t>
  </si>
  <si>
    <t>文件类别、置信度、用户ID、分类时间、类别描述、子类别、业务映射、处理建议</t>
  </si>
  <si>
    <t>文件质量</t>
  </si>
  <si>
    <t>图像质量检测</t>
  </si>
  <si>
    <t>用户上传文件后</t>
  </si>
  <si>
    <t>接收质量请求</t>
  </si>
  <si>
    <t>捕获图像质量检测请求</t>
  </si>
  <si>
    <t>质量检测请求</t>
  </si>
  <si>
    <t>图像数据、质量标准、用户ID、时间戳、检测精度、业务要求、会话标识、处理优先级</t>
  </si>
  <si>
    <t>加载质量模型</t>
  </si>
  <si>
    <t>读取图像质量检测模型配置</t>
  </si>
  <si>
    <t>质量模型配置</t>
  </si>
  <si>
    <t>模型版本、检测算法、质量指标、阈值设置、异常检测、修复建议、性能参数、更新机制</t>
  </si>
  <si>
    <t>执行质量检测</t>
  </si>
  <si>
    <t>调用AI引擎检测图像质量</t>
  </si>
  <si>
    <t>质量检测记录</t>
  </si>
  <si>
    <t>检测ID、检测结果、质量评分、用户ID、检测时间、问题列表、修复建议、处理状态</t>
  </si>
  <si>
    <t>返回检测结果</t>
  </si>
  <si>
    <t>输出图像质量检测结果</t>
  </si>
  <si>
    <t>质量检测输出</t>
  </si>
  <si>
    <t>质量评分、问题列表、建议操作、检测时间、修复方案、置信度、业务影响、处理结果</t>
  </si>
  <si>
    <t>图像增强</t>
  </si>
  <si>
    <t>证件图像优化</t>
  </si>
  <si>
    <t>证件识别置信度较低时</t>
  </si>
  <si>
    <t>接收优化请求</t>
  </si>
  <si>
    <t>捕获图像优化请求</t>
  </si>
  <si>
    <t>图像优化请求</t>
  </si>
  <si>
    <t>原始图像、优化类型、用户ID、时间戳、优化参数、业务要求、会话标识、处理优先级</t>
  </si>
  <si>
    <t>加载优化算法</t>
  </si>
  <si>
    <t>读取图像增强算法配置</t>
  </si>
  <si>
    <t>图像优化配置</t>
  </si>
  <si>
    <t>算法类型、亮度调整、对比度调整、锐度增强、噪声抑制、色彩校正、边缘增强、性能优化</t>
  </si>
  <si>
    <t>执行图像优化</t>
  </si>
  <si>
    <t>调用图像处理引擎进行增强</t>
  </si>
  <si>
    <t>图像优化记录</t>
  </si>
  <si>
    <t>优化ID、原始图像、优化图像、用户ID、优化时间、参数设置、质量提升、处理状态</t>
  </si>
  <si>
    <t>返回优化结果</t>
  </si>
  <si>
    <t>输出优化后的图像</t>
  </si>
  <si>
    <t>图像优化输出</t>
  </si>
  <si>
    <t>优化图像、质量评分、优化参数、处理时间、效果对比、用户反馈、存储路径、访问权限</t>
  </si>
  <si>
    <t>去噪处理</t>
  </si>
  <si>
    <t>文档去噪优化</t>
  </si>
  <si>
    <t>文档图像存在噪点时</t>
  </si>
  <si>
    <t>接收去噪请求</t>
  </si>
  <si>
    <t>捕获文档去噪请求</t>
  </si>
  <si>
    <t>去噪请求</t>
  </si>
  <si>
    <t>图像数据、去噪强度、用户ID、时间戳、去噪类型、业务场景、会话标识、处理要求</t>
  </si>
  <si>
    <t>加载去噪算法</t>
  </si>
  <si>
    <t>读取文档去噪算法配置</t>
  </si>
  <si>
    <t>去噪配置</t>
  </si>
  <si>
    <t>算法类型、噪点检测、滤波参数、边缘保护、纹理保留、性能优化、内存管理、处理速度</t>
  </si>
  <si>
    <t>执行去噪处理</t>
  </si>
  <si>
    <t>调用图像处理引擎进行去噪</t>
  </si>
  <si>
    <t>去噪记录</t>
  </si>
  <si>
    <t>去噪ID、原始图像、优化图像、用户ID、处理时间、参数设置、质量评估、处理状态</t>
  </si>
  <si>
    <t>返回去噪结果</t>
  </si>
  <si>
    <t>输出去噪后的图像</t>
  </si>
  <si>
    <t>去噪输出</t>
  </si>
  <si>
    <t>优化图像、质量评分、去噪参数、处理时间、效果对比、用户反馈、存储信息、访问权限</t>
  </si>
  <si>
    <t>文件格式转换</t>
  </si>
  <si>
    <t>PDF格式转换</t>
  </si>
  <si>
    <t>用户需要将图片转换为PDF</t>
  </si>
  <si>
    <t>接收转换请求</t>
  </si>
  <si>
    <t>捕获文件格式转换请求</t>
  </si>
  <si>
    <t>格式转换请求</t>
  </si>
  <si>
    <t>源文件、目标格式、用户ID、时间戳、转换参数、业务要求、会话标识、处理优先级</t>
  </si>
  <si>
    <t>加载转换引擎</t>
  </si>
  <si>
    <t>读取文件格式转换引擎配置</t>
  </si>
  <si>
    <t>格式转换配置</t>
  </si>
  <si>
    <t>引擎类型、压缩质量、页面布局、字体嵌入、图像优化、元数据保留、安全设置、性能参数</t>
  </si>
  <si>
    <t>执行格式转换</t>
  </si>
  <si>
    <t>调用格式转换引擎进行转换</t>
  </si>
  <si>
    <t>格式转换记录</t>
  </si>
  <si>
    <t>转换ID、源文件、目标文件、用户ID、转换时间、参数设置、质量评估、处理状态</t>
  </si>
  <si>
    <t>返回转换结果</t>
  </si>
  <si>
    <t>输出转换完成的PDF文件</t>
  </si>
  <si>
    <t>格式转换输出</t>
  </si>
  <si>
    <t>PDF文件、文件大小、转换状态、转换时间、质量评分、用户反馈、存储路径、访问权限</t>
  </si>
  <si>
    <t>智能压缩</t>
  </si>
  <si>
    <t>图像智能压缩</t>
  </si>
  <si>
    <t>用户需要压缩大文件</t>
  </si>
  <si>
    <t>接收压缩请求</t>
  </si>
  <si>
    <t>捕获文件压缩请求</t>
  </si>
  <si>
    <t>压缩请求</t>
  </si>
  <si>
    <t>文件数据、压缩级别、用户ID、时间戳、压缩算法、质量要求、会话标识、处理优先级</t>
  </si>
  <si>
    <t>加载压缩算法</t>
  </si>
  <si>
    <t>读取图像压缩算法配置</t>
  </si>
  <si>
    <t>压缩配置</t>
  </si>
  <si>
    <t>算法类型、压缩率、质量保持、色彩深度、分辨率调整、元数据处理、性能优化、内存管理</t>
  </si>
  <si>
    <t>执行文件压缩</t>
  </si>
  <si>
    <t>调用压缩引擎进行压缩</t>
  </si>
  <si>
    <t>压缩记录</t>
  </si>
  <si>
    <t>压缩ID、原始文件、压缩文件、用户ID、压缩时间、压缩率、质量评分、处理状态</t>
  </si>
  <si>
    <t>返回压缩结果</t>
  </si>
  <si>
    <t>输出压缩完成的文件</t>
  </si>
  <si>
    <t>压缩输出</t>
  </si>
  <si>
    <t>压缩文件、压缩率、文件大小、压缩时间、质量损失、用户反馈、存储路径、访问权限</t>
  </si>
  <si>
    <t>多格式压缩</t>
  </si>
  <si>
    <t>用户需要压缩多种格式文件</t>
  </si>
  <si>
    <t>接收多格式请求</t>
  </si>
  <si>
    <t>捕获多格式压缩请求</t>
  </si>
  <si>
    <t>多格式请求</t>
  </si>
  <si>
    <t>文件列表、压缩级别、用户ID、时间戳、格式类型、业务要求、会话标识、处理优先级</t>
  </si>
  <si>
    <t>加载多格式算法</t>
  </si>
  <si>
    <t>读取多格式压缩算法配置</t>
  </si>
  <si>
    <t>多格式配置</t>
  </si>
  <si>
    <t>算法类型、格式支持列表、压缩策略、质量平衡、性能优化、内存管理、错误处理、并发控制</t>
  </si>
  <si>
    <t>执行多格式压缩</t>
  </si>
  <si>
    <t>调用多格式压缩引擎</t>
  </si>
  <si>
    <t>多格式记录</t>
  </si>
  <si>
    <t>压缩ID、文件列表、压缩结果、用户ID、压缩时间、总压缩率、质量评估、处理状态</t>
  </si>
  <si>
    <t>返回多格式结果</t>
  </si>
  <si>
    <t>输出多格式压缩结果</t>
  </si>
  <si>
    <t>多格式输出</t>
  </si>
  <si>
    <t>压缩包文件、文件列表、压缩率统计、用户ID、处理时间、质量报告、存储路径、访问权限</t>
  </si>
  <si>
    <t>文档合并</t>
  </si>
  <si>
    <t>PDF文档合并</t>
  </si>
  <si>
    <t>用户需要合并多个PDF</t>
  </si>
  <si>
    <t>接收合并请求</t>
  </si>
  <si>
    <t>捕获PDF合并请求</t>
  </si>
  <si>
    <t>合并请求</t>
  </si>
  <si>
    <t>PDF文件列表、合并顺序、用户ID、时间戳、合并策略、业务要求、会话标识、处理优先级</t>
  </si>
  <si>
    <t>加载合并引擎</t>
  </si>
  <si>
    <t>读取PDF合并引擎配置</t>
  </si>
  <si>
    <t>合并配置</t>
  </si>
  <si>
    <t>引擎类型、页面排序、书签处理、元数据合并、加密处理、性能参数、错误处理、内存优化</t>
  </si>
  <si>
    <t>执行PDF合并</t>
  </si>
  <si>
    <t>调用PDF合并引擎</t>
  </si>
  <si>
    <t>合并记录</t>
  </si>
  <si>
    <t>合并ID、源文件列表、目标文件、用户ID、合并时间、页面统计、错误处理、处理状态</t>
  </si>
  <si>
    <t>返回合并结果</t>
  </si>
  <si>
    <t>输出合并完成的PDF文件</t>
  </si>
  <si>
    <t>合并输出</t>
  </si>
  <si>
    <t>合并PDF文件、文件大小、合并状态、页面数量、用户ID、处理时间、质量评分、访问权限</t>
  </si>
  <si>
    <t>文件同步</t>
  </si>
  <si>
    <t>云夹文件获取</t>
  </si>
  <si>
    <t>需要从云夹获取文件</t>
  </si>
  <si>
    <t>接收获取请求</t>
  </si>
  <si>
    <t>捕获云夹文件获取请求</t>
  </si>
  <si>
    <t>获取请求</t>
  </si>
  <si>
    <t>集团编码、文件类型、用户ID、时间戳、获取范围、业务场景、会话标识、处理优先级</t>
  </si>
  <si>
    <t>读取云夹配置</t>
  </si>
  <si>
    <t>获取云夹API配置</t>
  </si>
  <si>
    <t>云夹配置</t>
  </si>
  <si>
    <t>API地址、认证方式、超时时间、重试机制、数据格式、加密方式、性能参数、错误处理</t>
  </si>
  <si>
    <t>调用云夹接口</t>
  </si>
  <si>
    <t>调用云夹API获取文件</t>
  </si>
  <si>
    <t>获取记录</t>
  </si>
  <si>
    <t>请求ID、集团编码、文件列表、用户ID、请求时间、响应状态、数据大小、处理结果</t>
  </si>
  <si>
    <t>返回获取结果</t>
  </si>
  <si>
    <t>输出云夹文件获取结果</t>
  </si>
  <si>
    <t>获取输出</t>
  </si>
  <si>
    <t>文件列表、文件元数据、用户ID、获取时间、文件大小、格式类型、访问权限、处理状态</t>
  </si>
  <si>
    <t>云夹文件上传</t>
  </si>
  <si>
    <t>需要上传到云夹</t>
  </si>
  <si>
    <t>接收文件上传请求</t>
  </si>
  <si>
    <t>捕获云夹文件上传请求</t>
  </si>
  <si>
    <t>上传请求</t>
  </si>
  <si>
    <t>文件数据、集团编码、文件类型、用户ID、时间戳、上传策略、业务场景、会话标识</t>
  </si>
  <si>
    <t>验证上传规则</t>
  </si>
  <si>
    <t>获取云夹上传规则</t>
  </si>
  <si>
    <t>上传规则</t>
  </si>
  <si>
    <t>文件类型限制、大小限制、命名规则、权限验证、业务校验、安全策略、错误处理、性能参数</t>
  </si>
  <si>
    <t>执行文件上传</t>
  </si>
  <si>
    <t>调用云夹API上传文件</t>
  </si>
  <si>
    <t>上传记录</t>
  </si>
  <si>
    <t>上传ID、文件数据、集团编码、用户ID、上传时间、文件大小、传输状态、处理结果</t>
  </si>
  <si>
    <t>返文件上传结果</t>
  </si>
  <si>
    <t>文件列表、文件ID列表、文件元数据、用户ID、获取时间、文件大小、格式类型、访问权限、处理状态</t>
  </si>
  <si>
    <t>文件权限验证</t>
  </si>
  <si>
    <t>需要访问云夹文件</t>
  </si>
  <si>
    <t>接收权限请求</t>
  </si>
  <si>
    <t>捕获文件权限验证请求</t>
  </si>
  <si>
    <t>权限请求</t>
  </si>
  <si>
    <t>文件ID、用户ID、操作类型、集团编码、时间戳、业务场景、会话标识、访问级别</t>
  </si>
  <si>
    <t>读取权限配置</t>
  </si>
  <si>
    <t>获取文件权限配置</t>
  </si>
  <si>
    <t>权限配置</t>
  </si>
  <si>
    <t>权限模型、角色映射、操作权限、时间限制、IP限制、设备限制、审计策略、安全策略</t>
  </si>
  <si>
    <t>执行权限验证</t>
  </si>
  <si>
    <t>调用权限引擎验证访问权限</t>
  </si>
  <si>
    <t>权限记录</t>
  </si>
  <si>
    <t>验证ID、文件ID、用户ID、操作类型、验证结果、验证时间、集团编码、处理状态</t>
  </si>
  <si>
    <t>返回权限结果</t>
  </si>
  <si>
    <t>输出文件权限验证结果</t>
  </si>
  <si>
    <t>权限输出</t>
  </si>
  <si>
    <t>验证结果、文件ID、用户ID、操作权限、拒绝原因、建议操作、处理时间、审计日志</t>
  </si>
  <si>
    <t>文件操作反馈</t>
  </si>
  <si>
    <t>文件操作完成后</t>
  </si>
  <si>
    <t>接收反馈请求</t>
  </si>
  <si>
    <t>捕获文件操作反馈请求</t>
  </si>
  <si>
    <t>反馈请求</t>
  </si>
  <si>
    <t>操作类型、文件ID、用户ID、时间戳、反馈内容、业务场景、会话标识、重要级别</t>
  </si>
  <si>
    <t>读取反馈配置</t>
  </si>
  <si>
    <t>获取操作反馈配置</t>
  </si>
  <si>
    <t>反馈配置</t>
  </si>
  <si>
    <t>通知渠道、反馈模板、优先级规则、频率控制、性能参数、错误处理、存储策略、审计要求</t>
  </si>
  <si>
    <t>执行操作反馈</t>
  </si>
  <si>
    <t>调用反馈引擎发送操作反馈</t>
  </si>
  <si>
    <t>反馈记录</t>
  </si>
  <si>
    <t>反馈ID、操作详情、用户ID、反馈时间、通知渠道、发送状态、处理结果、响应数据</t>
  </si>
  <si>
    <t>返回反馈结果</t>
  </si>
  <si>
    <t>输出文件操作反馈结果</t>
  </si>
  <si>
    <t>反馈输出</t>
  </si>
  <si>
    <t>反馈状态、操作详情、用户ID、反馈时间、通知结果、响应时间、处理建议、访问记录</t>
  </si>
  <si>
    <t>识别完成后需要存储</t>
  </si>
  <si>
    <t>接收文件存储请求</t>
  </si>
  <si>
    <t>捕获文件存储请求</t>
  </si>
  <si>
    <t>存储请求</t>
  </si>
  <si>
    <t>文件数据、存储类型、用户ID、时间戳、存储策略、业务场景、会话标识、安全级别</t>
  </si>
  <si>
    <t>读取存储配置</t>
  </si>
  <si>
    <t>获取云存储配置</t>
  </si>
  <si>
    <t>存储配置</t>
  </si>
  <si>
    <t>存储类型、访问密钥、桶名称、区域设置、加密方式、生命周期、性能参数、错误处理</t>
  </si>
  <si>
    <t>执行文件存储</t>
  </si>
  <si>
    <t>调用存储API存储文件</t>
  </si>
  <si>
    <t>存储记录</t>
  </si>
  <si>
    <t>存储ID、文件数据、存储路径、用户ID、存储时间、文件大小、存储状态、处理结果</t>
  </si>
  <si>
    <t>返回文件存储结果</t>
  </si>
  <si>
    <t>输出文件存储结果</t>
  </si>
  <si>
    <t>存储输出</t>
  </si>
  <si>
    <t>存储状态、文件ID、访问URL、用户ID、存储时间、文件大小、安全信息、访问权限</t>
  </si>
  <si>
    <t>智能搜索</t>
  </si>
  <si>
    <t>文件全文检索</t>
  </si>
  <si>
    <t>用户需要搜索文件内容</t>
  </si>
  <si>
    <t>接收搜索请求</t>
  </si>
  <si>
    <t>捕获文件全文检索请求</t>
  </si>
  <si>
    <t>搜索请求</t>
  </si>
  <si>
    <t>搜索关键词、文件类型、用户ID、时间戳、搜索范围、业务场景、会话标识、搜索精度</t>
  </si>
  <si>
    <t>加载搜索模型</t>
  </si>
  <si>
    <t>读取全文检索模型配置</t>
  </si>
  <si>
    <t>搜索模型配置</t>
  </si>
  <si>
    <t>模型版本、分词算法、索引策略、权重配置、同义词库、拼写纠错、性能优化、更新机制</t>
  </si>
  <si>
    <t>执行全文检索</t>
  </si>
  <si>
    <t>调用搜索引擎进行全文检索</t>
  </si>
  <si>
    <t>搜索记录</t>
  </si>
  <si>
    <t>检索ID、搜索结果、用户ID、检索时间、匹配度、文件数量、错误信息、处理状态</t>
  </si>
  <si>
    <t>返回搜索结果</t>
  </si>
  <si>
    <t>输出文件全文检索结果</t>
  </si>
  <si>
    <t>搜索输出</t>
  </si>
  <si>
    <t>搜索结果、匹配文件、用户ID、检索时间、匹配度、关键词高亮、相关度排序、访问权限</t>
  </si>
  <si>
    <t>元数据检索</t>
  </si>
  <si>
    <t>文件元数据检索</t>
  </si>
  <si>
    <t>用户需要按元数据搜索</t>
  </si>
  <si>
    <t>接收元数据请求</t>
  </si>
  <si>
    <t>捕获元数据检索请求</t>
  </si>
  <si>
    <t>元数据请求</t>
  </si>
  <si>
    <t>元数据字段、搜索值、用户ID、时间戳、检索类型、业务场景、会话标识、匹配模式</t>
  </si>
  <si>
    <t>读取元数据索引</t>
  </si>
  <si>
    <t>获取元数据索引配置</t>
  </si>
  <si>
    <t>元数据索引配置</t>
  </si>
  <si>
    <t>索引类型、字段映射、数据类型、索引策略、更新频率、性能参数、错误处理、存储优化</t>
  </si>
  <si>
    <t>执行元数据检索</t>
  </si>
  <si>
    <t>调用元数据搜索引擎</t>
  </si>
  <si>
    <t>元数据记录</t>
  </si>
  <si>
    <t>检索ID、元数据结果、用户ID、检索时间、匹配字段、文件数量、处理状态、性能指标</t>
  </si>
  <si>
    <t>返回元数据结果</t>
  </si>
  <si>
    <t>输出元数据检索结果</t>
  </si>
  <si>
    <t>元数据输出</t>
  </si>
  <si>
    <t>检索结果、匹配文件、用户ID、检索时间、匹配字段、相关度、排序结果、访问权限</t>
  </si>
  <si>
    <t>链接分享</t>
  </si>
  <si>
    <t>文件链接分享</t>
  </si>
  <si>
    <t>用户需要分享文件</t>
  </si>
  <si>
    <t>接收分享请求</t>
  </si>
  <si>
    <t>捕获文件链接分享请求</t>
  </si>
  <si>
    <t>分享请求</t>
  </si>
  <si>
    <t>文件ID、分享类型、用户ID、时间戳、有效期、访问权限、业务场景、会话标识</t>
  </si>
  <si>
    <t>生成分享链接</t>
  </si>
  <si>
    <t>创建文件分享链接</t>
  </si>
  <si>
    <t>分享链接配置</t>
  </si>
  <si>
    <t>链接格式、加密方式、有效期设置、访问次数限制、密码保护、水印设置、审计策略、性能参数</t>
  </si>
  <si>
    <t>执行链接分享</t>
  </si>
  <si>
    <t>生成并存储分享链接</t>
  </si>
  <si>
    <t>分享记录</t>
  </si>
  <si>
    <t>分享ID、文件ID、分享链接、用户ID、分享时间、有效期、访问限制、处理状态</t>
  </si>
  <si>
    <t>返回分享结果</t>
  </si>
  <si>
    <t>输出文件分享链接</t>
  </si>
  <si>
    <t>分享输出</t>
  </si>
  <si>
    <t>分享链接、访问密码、有效期、用户ID、分享时间、访问统计、水印信息、撤销权限</t>
  </si>
  <si>
    <t>文件权限管理</t>
  </si>
  <si>
    <t>文件权限分享</t>
  </si>
  <si>
    <t>用户需要分享文件权限</t>
  </si>
  <si>
    <t>接收权限分享请求</t>
  </si>
  <si>
    <t>捕获文件权限分享请求</t>
  </si>
  <si>
    <t>权限分享请求</t>
  </si>
  <si>
    <t>文件ID、目标用户、权限类型、用户ID、时间戳、业务场景、会话标识、分享理由</t>
  </si>
  <si>
    <t>验证分享权限</t>
  </si>
  <si>
    <t>验证用户分享权限</t>
  </si>
  <si>
    <t>权限验证配置</t>
  </si>
  <si>
    <t>权限规则、审批流程、安全策略、审计要求、通知规则、错误处理、性能参数、合规检查</t>
  </si>
  <si>
    <t>执行权限分享</t>
  </si>
  <si>
    <t>调用权限引擎进行分享</t>
  </si>
  <si>
    <t>权限分享记录</t>
  </si>
  <si>
    <t>分享ID、文件ID、目标用户、权限类型、用户ID、分享时间、审批状态、处理结果</t>
  </si>
  <si>
    <t>返回权限分享结果</t>
  </si>
  <si>
    <t>输出权限分享结果</t>
  </si>
  <si>
    <t>权限分享输出</t>
  </si>
  <si>
    <t>分享状态、目标用户、权限类型、用户ID、分享时间、审批详情、访问权限、撤销选项</t>
  </si>
  <si>
    <t>版本控制</t>
  </si>
  <si>
    <t>文件版本管理</t>
  </si>
  <si>
    <t>用户修改文件时</t>
  </si>
  <si>
    <t>接收版本请求</t>
  </si>
  <si>
    <t>捕获文件版本管理请求</t>
  </si>
  <si>
    <t>版本请求</t>
  </si>
  <si>
    <t>文件ID、操作类型、用户ID、时间戳、版本策略、业务场景、会话标识、变更内容</t>
  </si>
  <si>
    <t>读取版本配置</t>
  </si>
  <si>
    <t>获取文件版本配置</t>
  </si>
  <si>
    <t>版本配置</t>
  </si>
  <si>
    <t>版本策略、保留数量、自动保存、冲突解决、合并规则、性能参数、存储优化、错误处理</t>
  </si>
  <si>
    <t>执行版本管理</t>
  </si>
  <si>
    <t>调用版本引擎管理文件版本</t>
  </si>
  <si>
    <t>版本记录</t>
  </si>
  <si>
    <t>版本ID、文件ID、版本号、用户ID、版本时间、变更内容、存储路径、处理状态</t>
  </si>
  <si>
    <t>返回版本结果</t>
  </si>
  <si>
    <t>输出文件版本管理结果</t>
  </si>
  <si>
    <t>版本输出</t>
  </si>
  <si>
    <t>当前版本、版本历史、用户ID、版本时间、变更摘要、回滚选项、访问权限、存储信息</t>
  </si>
  <si>
    <t>安全审计</t>
  </si>
  <si>
    <t>文件安全审计</t>
  </si>
  <si>
    <t>定期安全检查时</t>
  </si>
  <si>
    <t>接收安全审计请求</t>
  </si>
  <si>
    <t>捕获文件安全审计请求</t>
  </si>
  <si>
    <t>安全审计请求</t>
  </si>
  <si>
    <t>审计范围、用户ID、时间戳、审计类型、风险级别、业务场景、会话标识、合规要求</t>
  </si>
  <si>
    <t>加载安全审计模型</t>
  </si>
  <si>
    <t>读取安全审计模型配置</t>
  </si>
  <si>
    <t>安全审计配置</t>
  </si>
  <si>
    <t>模型版本、风险规则、异常检测、合规检查、性能参数、更新机制、错误处理、报告模板</t>
  </si>
  <si>
    <t>执行安全审计</t>
  </si>
  <si>
    <t>调用安全审计引擎</t>
  </si>
  <si>
    <t>安全审计记录</t>
  </si>
  <si>
    <t>审计ID、审计范围、用户ID、审计时间、风险发现、合规状态、处理建议、处理状态</t>
  </si>
  <si>
    <t>返回安全审计结果</t>
  </si>
  <si>
    <t>输出文件安全审计结果</t>
  </si>
  <si>
    <t>安全审计输出</t>
  </si>
  <si>
    <t>审计报告、风险等级、用户ID、审计时间、合规状态、修复建议、负责人、处理期限</t>
  </si>
  <si>
    <t>文件统计分析</t>
  </si>
  <si>
    <t>文件使用统计</t>
  </si>
  <si>
    <t>需要查看文件使用情况</t>
  </si>
  <si>
    <t>接收统计请求</t>
  </si>
  <si>
    <t>捕获文件使用统计请求</t>
  </si>
  <si>
    <t>统计请求</t>
  </si>
  <si>
    <t>统计类型、时间范围、用户ID、时间戳、业务维度、会话标识、统计精度、数据源</t>
  </si>
  <si>
    <t>读取统计配置</t>
  </si>
  <si>
    <t>获取文件统计配置</t>
  </si>
  <si>
    <t>统计配置</t>
  </si>
  <si>
    <t>统计维度、聚合方式、时间粒度、数据清洗、可视化设置、性能参数、缓存策略、错误处理</t>
  </si>
  <si>
    <t>执行统计分析</t>
  </si>
  <si>
    <t>调用统计引擎进行分析</t>
  </si>
  <si>
    <t>统计记录</t>
  </si>
  <si>
    <t>统计ID、统计结果、用户ID、统计时间、时间范围、计算指标、处理状态、性能指标</t>
  </si>
  <si>
    <t>返回统计结果</t>
  </si>
  <si>
    <t>输出文件使用统计结果</t>
  </si>
  <si>
    <t>统计输出</t>
  </si>
  <si>
    <t>统计图表、关键指标、用户ID、统计时间、趋势分析、对比数据、导出选项、访问权限</t>
  </si>
  <si>
    <t>趋势分析</t>
  </si>
  <si>
    <t>文件趋势分析</t>
  </si>
  <si>
    <t>需要分析文件趋势</t>
  </si>
  <si>
    <t>接收趋势请求</t>
  </si>
  <si>
    <t>捕获文件趋势分析请求</t>
  </si>
  <si>
    <t>趋势请求</t>
  </si>
  <si>
    <t>分析类型、时间范围、用户ID、时间戳、预测周期、业务场景、会话标识、数据粒度</t>
  </si>
  <si>
    <t>加载趋势模型</t>
  </si>
  <si>
    <t>读取趋势分析模型配置</t>
  </si>
  <si>
    <t>趋势模型配置</t>
  </si>
  <si>
    <t>模型版本、预测算法、特征工程、参数配置、置信区间、性能优化、更新机制、错误处理</t>
  </si>
  <si>
    <t>执行趋势分析</t>
  </si>
  <si>
    <t>调用趋势分析引擎</t>
  </si>
  <si>
    <t>趋势记录</t>
  </si>
  <si>
    <t>分析ID、分析结果、用户ID、分析时间、预测周期、置信度、处理状态、性能指标</t>
  </si>
  <si>
    <t>返回趋势结果</t>
  </si>
  <si>
    <t>输出文件趋势分析结果</t>
  </si>
  <si>
    <t>趋势输出</t>
  </si>
  <si>
    <t>趋势图表、预测值、用户ID、分析时间、置信区间、关键因子、导出选项、访问权限</t>
  </si>
  <si>
    <t>文件推荐</t>
  </si>
  <si>
    <t>智能文件推荐</t>
  </si>
  <si>
    <t>用户查看文件时</t>
  </si>
  <si>
    <t>接收关联请求</t>
  </si>
  <si>
    <t>捕获文件业务关联请求</t>
  </si>
  <si>
    <t>关联请求</t>
  </si>
  <si>
    <t>文件类型、业务类型、用户ID、时间戳、关联维度、业务场景、会话标识、分析深度</t>
  </si>
  <si>
    <t>加载关联模型</t>
  </si>
  <si>
    <t>读取业务关联模型配置</t>
  </si>
  <si>
    <t>关联模型配置</t>
  </si>
  <si>
    <t>模型版本、关联算法、权重配置、阈值设置、可视化规则、性能参数、更新机制、错误处理</t>
  </si>
  <si>
    <t>执行关联分析</t>
  </si>
  <si>
    <t>调用关联分析引擎</t>
  </si>
  <si>
    <t>关联记录</t>
  </si>
  <si>
    <t>分析ID、关联结果、用户ID、分析时间、关联强度、业务实体、处理状态、性能指标</t>
  </si>
  <si>
    <t>返回关联结果</t>
  </si>
  <si>
    <t>输出文件业务关联结果</t>
  </si>
  <si>
    <t>关联输出</t>
  </si>
  <si>
    <t>关联图谱、关联强度、用户ID、分析时间、关键节点、业务建议、导出选项、访问权限</t>
  </si>
  <si>
    <t>业务推荐</t>
  </si>
  <si>
    <t>智能业务推荐</t>
  </si>
  <si>
    <t>用户处理业务时</t>
  </si>
  <si>
    <t>接收推荐请求</t>
  </si>
  <si>
    <t>捕获智能文件推荐请求</t>
  </si>
  <si>
    <t>推荐请求</t>
  </si>
  <si>
    <t>用户ID、当前文件、推荐类型、时间戳、推荐数量、业务场景、会话标识、用户偏好</t>
  </si>
  <si>
    <t>加载推荐模型</t>
  </si>
  <si>
    <t>读取文件推荐模型配置</t>
  </si>
  <si>
    <t>推荐模型配置</t>
  </si>
  <si>
    <t>模型版本、推荐算法、特征权重、冷启动策略、实时更新、性能优化、A/B测试、错误处理</t>
  </si>
  <si>
    <t>执行文件推荐</t>
  </si>
  <si>
    <t>调用推荐引擎进行推荐</t>
  </si>
  <si>
    <t>推荐记录</t>
  </si>
  <si>
    <t>推荐ID、推荐结果、用户ID、推荐时间、推荐理由、点击率、处理状态、性能指标</t>
  </si>
  <si>
    <t>返回推荐结果</t>
  </si>
  <si>
    <t>输出智能文件推荐结果</t>
  </si>
  <si>
    <t>推荐输出</t>
  </si>
  <si>
    <t>推荐文件、推荐理由、用户ID、推荐时间、相关度、优先级、反馈选项、访问权限</t>
  </si>
  <si>
    <t>传输加密</t>
  </si>
  <si>
    <t>文件传输加密</t>
  </si>
  <si>
    <t>文件传输过程中</t>
  </si>
  <si>
    <t>接收业务推荐请求</t>
  </si>
  <si>
    <t>捕获智能业务推荐请求</t>
  </si>
  <si>
    <t>业务推荐请求</t>
  </si>
  <si>
    <t>用户ID、当前业务、推荐类型、时间戳、推荐数量、业务场景、会话标识、历史行为</t>
  </si>
  <si>
    <t>加载业务推荐模型</t>
  </si>
  <si>
    <t>读取业务推荐模型配置</t>
  </si>
  <si>
    <t>业务推荐配置</t>
  </si>
  <si>
    <t>模型版本、推荐策略、业务规则、特征工程、实时计算、性能参数、更新机制、合规检查</t>
  </si>
  <si>
    <t>执行业务推荐</t>
  </si>
  <si>
    <t>调用业务推荐引擎</t>
  </si>
  <si>
    <t>业务推荐记录</t>
  </si>
  <si>
    <t>推荐ID、推荐结果、用户ID、推荐时间、业务类型、推荐理由、处理状态、转化率</t>
  </si>
  <si>
    <t>返回业务推荐结果</t>
  </si>
  <si>
    <t>输出智能业务推荐结果</t>
  </si>
  <si>
    <t>业务推荐输出</t>
  </si>
  <si>
    <t>推荐业务、推荐理由、用户ID、推荐时间、业务价值、优先级、执行建议、访问权限</t>
  </si>
  <si>
    <t>存储加密</t>
  </si>
  <si>
    <t>文件存储加密</t>
  </si>
  <si>
    <t>文件存储时</t>
  </si>
  <si>
    <t>接收存储加密请求</t>
  </si>
  <si>
    <t>捕获文件存储加密请求</t>
  </si>
  <si>
    <t>存储加密请求</t>
  </si>
  <si>
    <t>文件数据、加密类型、用户ID、时间戳、密钥策略、业务场景、会话标识、合规要求</t>
  </si>
  <si>
    <t>读取存储加密配置</t>
  </si>
  <si>
    <t>获取存储加密配置</t>
  </si>
  <si>
    <t>存储加密配置</t>
  </si>
  <si>
    <t>加密算法、密钥轮换、存储位置、加密粒度、性能参数、安全策略、错误处理、审计要求</t>
  </si>
  <si>
    <t>执行存储加密</t>
  </si>
  <si>
    <t>调用加密引擎进行存储加密</t>
  </si>
  <si>
    <t>存储加密记录</t>
  </si>
  <si>
    <t>加密ID、文件数据、加密结果、用户ID、加密时间、密钥信息、存储路径、处理状态</t>
  </si>
  <si>
    <t>返回存储加密结果</t>
  </si>
  <si>
    <t>输出文件存储加密结果</t>
  </si>
  <si>
    <t>存储加密输出</t>
  </si>
  <si>
    <t>加密状态、加密文件、用户ID、加密时间、密钥ID、存储位置、解密选项、访问权限</t>
  </si>
  <si>
    <t>结构化数据管理</t>
  </si>
  <si>
    <t>结构化数据创建</t>
  </si>
  <si>
    <t>识别完成后</t>
  </si>
  <si>
    <t>接收创建请求</t>
  </si>
  <si>
    <t>捕获结构化数据创建请求</t>
  </si>
  <si>
    <t>创建请求</t>
  </si>
  <si>
    <t>识别结果、数据类型、用户ID、时间戳、存储策略、业务场景、会话标识、数据格式</t>
  </si>
  <si>
    <t>读取数据模板</t>
  </si>
  <si>
    <t>获取结构化数据模板</t>
  </si>
  <si>
    <t>数据模板配置</t>
  </si>
  <si>
    <t>模板类型、字段定义、数据类型、校验规则、默认值、业务规则、性能参数、错误处理</t>
  </si>
  <si>
    <t>执行数据创建</t>
  </si>
  <si>
    <t>调用数据引擎创建结构化数据</t>
  </si>
  <si>
    <t>数据创建记录</t>
  </si>
  <si>
    <t>创建ID、识别结果、结构化数据、用户ID、创建时间、数据类型、处理状态、存储位置</t>
  </si>
  <si>
    <t>返回创建结果</t>
  </si>
  <si>
    <t>输出结构化数据创建结果</t>
  </si>
  <si>
    <t>数据创建输出</t>
  </si>
  <si>
    <t>创建状态、数据ID、用户ID、创建时间、数据内容、存储路径、业务映射、访问权限</t>
  </si>
  <si>
    <t>结构化数据存储</t>
  </si>
  <si>
    <t>需要存储结构化数据</t>
  </si>
  <si>
    <t>接收数据存储请求</t>
  </si>
  <si>
    <t>捕获结构化数据存储请求</t>
  </si>
  <si>
    <t>结构化数据、存储类型、用户ID、时间戳、存储策略、业务场景、会话标识、安全级别</t>
  </si>
  <si>
    <t>读取数据存储配置</t>
  </si>
  <si>
    <t>获取数据存储配置</t>
  </si>
  <si>
    <t>存储类型、访问密钥、存储位置、加密方式、压缩策略、生命周期、性能参数、错误处理</t>
  </si>
  <si>
    <t>执行数据存储</t>
  </si>
  <si>
    <t>调用存储引擎存储结构化数据</t>
  </si>
  <si>
    <t>存储ID、结构化数据、存储路径、用户ID、存储时间、数据大小、处理状态、索引结果</t>
  </si>
  <si>
    <t>返回数据存储结果</t>
  </si>
  <si>
    <t>输出结构化数据存储结果</t>
  </si>
  <si>
    <t>存储状态、数据ID、存储路径、用户ID、存储时间、数据大小、访问URL、权限信息</t>
  </si>
  <si>
    <t>结构化数据更新</t>
  </si>
  <si>
    <t>需要更新结构化数据</t>
  </si>
  <si>
    <t>接收更新请求</t>
  </si>
  <si>
    <t>捕获结构化数据更新请求</t>
  </si>
  <si>
    <t>更新请求</t>
  </si>
  <si>
    <t>数据ID、更新内容、用户ID、时间戳、更新策略、业务场景、会话标识、变更原因</t>
  </si>
  <si>
    <t>读取更新配置</t>
  </si>
  <si>
    <t>获取数据更新配置</t>
  </si>
  <si>
    <t>更新配置</t>
  </si>
  <si>
    <t>更新策略、字段映射、校验规则、版本控制、性能参数、错误处理、审计要求、通知规则</t>
  </si>
  <si>
    <t>执行数据更新</t>
  </si>
  <si>
    <t>调用更新引擎更新结构化数据</t>
  </si>
  <si>
    <t>更新记录</t>
  </si>
  <si>
    <t>更新ID、数据ID、更新内容、用户ID、更新时间、旧值、新值、处理状态</t>
  </si>
  <si>
    <t>返回更新结果</t>
  </si>
  <si>
    <t>输出结构化数据更新结果</t>
  </si>
  <si>
    <t>更新输出</t>
  </si>
  <si>
    <t>更新状态、数据ID、用户ID、更新时间、更新详情、版本号、业务影响、访问权限</t>
  </si>
  <si>
    <t>结构化数据删除</t>
  </si>
  <si>
    <t>需要删除结构化数据</t>
  </si>
  <si>
    <t>接收删除请求</t>
  </si>
  <si>
    <t>捕获结构化数据删除请求</t>
  </si>
  <si>
    <t>删除请求</t>
  </si>
  <si>
    <t>数据ID、删除原因、用户ID、时间戳、删除策略、业务场景、会话标识、审批要求</t>
  </si>
  <si>
    <t>验证删除权限</t>
  </si>
  <si>
    <t>验证用户删除权限</t>
  </si>
  <si>
    <t>删除权限配置</t>
  </si>
  <si>
    <t>权限ID、审批流程、安全策略、审计要求、通知规则、错误处理、性能参数、合规检查</t>
  </si>
  <si>
    <t>执行数据删除</t>
  </si>
  <si>
    <t>调用删除引擎删除结构化数据</t>
  </si>
  <si>
    <t>删除记录</t>
  </si>
  <si>
    <t>删除ID、数据ID、删除原因、用户ID、删除时间、备份状态、处理结果、审计日志</t>
  </si>
  <si>
    <t>返回删除结果</t>
  </si>
  <si>
    <t>输出结构化数据删除结果</t>
  </si>
  <si>
    <t>删除输出</t>
  </si>
  <si>
    <t>删除状态、数据ID、用户ID、删除时间、删除详情、备份信息、审计记录、访问权限</t>
  </si>
  <si>
    <t>业务场景使用</t>
  </si>
  <si>
    <t>电子协议签署</t>
  </si>
  <si>
    <t>用户在灵犀助手需要签署电子协议</t>
  </si>
  <si>
    <t>接收签署请求</t>
  </si>
  <si>
    <t>捕获电子协议签署对集团资料请求</t>
  </si>
  <si>
    <t>签署请求</t>
  </si>
  <si>
    <t>协议ID、签署方、用户ID、时间戳、签署方式、业务场景、会话标识、法律要求</t>
  </si>
  <si>
    <t>验证签署权限</t>
  </si>
  <si>
    <t>验证用户签署权限</t>
  </si>
  <si>
    <t>签署权限配置</t>
  </si>
  <si>
    <t>权限规则、身份验证、生物识别、审批流程、法律合规、安全策略、错误处理、审计要求</t>
  </si>
  <si>
    <t>生成补充后合同</t>
  </si>
  <si>
    <t>调集团资源进行材料补充</t>
  </si>
  <si>
    <t>签署记录</t>
  </si>
  <si>
    <t>资料ID、协议ID、签署方、用户ID、签署时间、签署方式、签名数据、处理状态</t>
  </si>
  <si>
    <t>返回电子协议结果</t>
  </si>
  <si>
    <t>输出补充结果</t>
  </si>
  <si>
    <t>签署输出</t>
  </si>
  <si>
    <t>签署状态、协议ID、zi'l方、用户ID、签署时间、法律效力、存储路径、访问权限</t>
  </si>
  <si>
    <t>合同转订单创建</t>
  </si>
  <si>
    <t>用户在灵犀助手在合同转订单时</t>
  </si>
  <si>
    <t>接收订单创建请求</t>
  </si>
  <si>
    <t>捕获合同转订单创建请求</t>
  </si>
  <si>
    <t>订单创建请求</t>
  </si>
  <si>
    <t>合同数据、订单类型、用户ID、时间戳、创建策略、业务场景、会话标识、审批要求</t>
  </si>
  <si>
    <t>补充订单涉及集团资料数据</t>
  </si>
  <si>
    <t>验证订单涉及数据完整性</t>
  </si>
  <si>
    <t>订单验证配置</t>
  </si>
  <si>
    <t>数据校验规则、业务规则、金额校验、客户校验、产品校验、错误处理、性能参数、合规检查</t>
  </si>
  <si>
    <t>执行订单创建</t>
  </si>
  <si>
    <t>调用订单创建引擎</t>
  </si>
  <si>
    <t>订单创建记录</t>
  </si>
  <si>
    <t>创建ID、订单数据、用户ID、创建时间、合同映射、校验结果、处理状态、系统响应</t>
  </si>
  <si>
    <t>返回订单创建结果</t>
  </si>
  <si>
    <t>输出合同转订单创建结果</t>
  </si>
  <si>
    <t>订单创建输出</t>
  </si>
  <si>
    <t>创建状态、订单ID、用户ID、创建时间、订单详情、合同关联、业务影响、访问权限</t>
  </si>
  <si>
    <t>合同转订单提交</t>
  </si>
  <si>
    <t>订单需要提交时</t>
  </si>
  <si>
    <t>接收审批请求</t>
  </si>
  <si>
    <t>捕获合同订单提交请求</t>
  </si>
  <si>
    <t>审批请求</t>
  </si>
  <si>
    <t>订单ID、审批类型、用户ID、时间戳、审批流程、业务场景、会话标识、紧急程度</t>
  </si>
  <si>
    <t>读取审批配置</t>
  </si>
  <si>
    <t>获取订单提交配置</t>
  </si>
  <si>
    <t>审批配置</t>
  </si>
  <si>
    <t>审批流程、角色映射、金额阈值、紧急规则、通知策略、性能参数、错误处理、合规要求</t>
  </si>
  <si>
    <t>执行订单审批</t>
  </si>
  <si>
    <t>调用接口行提交</t>
  </si>
  <si>
    <t>审批记录</t>
  </si>
  <si>
    <t>审批ID、订单ID、审批人、用户ID、审批时间、审批意见、处理状态、系统响应</t>
  </si>
  <si>
    <t>返回审批结果</t>
  </si>
  <si>
    <t>输出合同订单提交结果</t>
  </si>
  <si>
    <t>审批输出</t>
  </si>
  <si>
    <t>审批状态、订单ID、审批人、用户ID、审批时间、审批意见、后续步骤、访问权限</t>
  </si>
  <si>
    <t>授权书验证</t>
  </si>
  <si>
    <t>需要验证授权书</t>
  </si>
  <si>
    <t>接收验证请求</t>
  </si>
  <si>
    <t>捕获授权书验证请求</t>
  </si>
  <si>
    <t>验证请求</t>
  </si>
  <si>
    <t>授权书ID、验证类型、用户ID、时间戳、验证深度、业务场景、会话标识、法律要求</t>
  </si>
  <si>
    <t>加载验证规则</t>
  </si>
  <si>
    <t>读取授权书验证规则</t>
  </si>
  <si>
    <t>验证规则配置</t>
  </si>
  <si>
    <t>规则版本、身份验证、签名验证、有效期验证、权限验证、法律合规、性能参数、错误处理</t>
  </si>
  <si>
    <t>执行授权验证</t>
  </si>
  <si>
    <t>调用验证引擎进行验证</t>
  </si>
  <si>
    <t>验证记录</t>
  </si>
  <si>
    <t>验证ID、授权书ID、验证结果、用户ID、验证时间、验证详情、风险评分、处理状态</t>
  </si>
  <si>
    <t>返回验证结果</t>
  </si>
  <si>
    <t>输出授权书验证结果</t>
  </si>
  <si>
    <t>验证输出</t>
  </si>
  <si>
    <t>验证状态、授权书ID、用户ID、验证时间、验证详情、法律效力、风险提示、访问权限</t>
  </si>
  <si>
    <t>业务受理</t>
  </si>
  <si>
    <t>识别业务文件后</t>
  </si>
  <si>
    <t>接收受理请求</t>
  </si>
  <si>
    <t>捕获业务受理融合请求</t>
  </si>
  <si>
    <t>受理请求</t>
  </si>
  <si>
    <t>业务数据、受理类型、用户ID、时间戳、受理策略、业务场景、会话标识、审批要求</t>
  </si>
  <si>
    <t>读取受理规则</t>
  </si>
  <si>
    <t>获取业务受理融合规则</t>
  </si>
  <si>
    <t>受理规则配置</t>
  </si>
  <si>
    <t>业务规则、数据校验、流程映射、审批策略、通知规则、性能参数、错误处理、合规要求</t>
  </si>
  <si>
    <t>执行业务受理</t>
  </si>
  <si>
    <t>调用受理引擎进行业务受理</t>
  </si>
  <si>
    <t>受理记录</t>
  </si>
  <si>
    <t>受理ID、业务数据、用户ID、受理时间、流程状态、处理结果、系统响应、性能指标</t>
  </si>
  <si>
    <t>返回受理结果</t>
  </si>
  <si>
    <t>输出业务受理融合结果</t>
  </si>
  <si>
    <t>受理输出</t>
  </si>
  <si>
    <t>受理状态、业务ID、用户ID、受理时间、流程进度、下一步骤、通知记录、访问权限</t>
  </si>
  <si>
    <t>集团建档</t>
  </si>
  <si>
    <t>用户在灵犀助手进行集团建档操作</t>
  </si>
  <si>
    <t>接收企业建档请求</t>
  </si>
  <si>
    <t>捕获业务场景识别请求和上下文信息</t>
  </si>
  <si>
    <t>集团建档资料请求</t>
  </si>
  <si>
    <t>请求ID、用户行为、用户ID、会话ID、时间戳、业务类型、历史上下文、设备信息、网络环境、优先级</t>
  </si>
  <si>
    <t>加载所需集团资料</t>
  </si>
  <si>
    <t>读取业务场景所需资料</t>
  </si>
  <si>
    <t>读取所需资料</t>
  </si>
  <si>
    <t>资料ID、场景分类、特征权重、性能优化、实时性要求、日志级别、内存管理</t>
  </si>
  <si>
    <t>获取集团资料</t>
  </si>
  <si>
    <t>识别用户当前集团建档所需的资料</t>
  </si>
  <si>
    <t>识别对应的资源</t>
  </si>
  <si>
    <t>资料ID、场景类型、资料名称、用户ID、识别时间、处理耗时、处理状态、错误信息、数据版本</t>
  </si>
  <si>
    <t>返回获取资料的结果</t>
  </si>
  <si>
    <t>输出获取资料反馈的结果</t>
  </si>
  <si>
    <t>输出对应资料</t>
  </si>
  <si>
    <t>返回结果、结果类型、用户ID、场景ID、处理耗时、建议操作、错误信息、业务流程、下一步操作</t>
  </si>
  <si>
    <t>资源预覆盖</t>
  </si>
  <si>
    <t>用户在灵犀助手进行资源预覆盖操作</t>
  </si>
  <si>
    <t>接收资源预覆盖请求</t>
  </si>
  <si>
    <t>预覆盖请求</t>
  </si>
  <si>
    <t>对话内容、用户行为、用户ID、会话ID、时间戳、业务类型、历史上下文、设备信息、网络环境、优先级</t>
  </si>
  <si>
    <t>加载所需资源预覆盖资料</t>
  </si>
  <si>
    <t>读取业务场景所需资源预覆盖资料</t>
  </si>
  <si>
    <t>读取预覆盖资料</t>
  </si>
  <si>
    <t>资料ID、资料名称、资料列表、性能优化、实时性要求、日志级别、内存管理</t>
  </si>
  <si>
    <t>获取及填充集团资料</t>
  </si>
  <si>
    <t>识别用户当前资源预覆盖所需的资料</t>
  </si>
  <si>
    <t>预覆盖识别记录</t>
  </si>
  <si>
    <t>资料ID、资料名称、资料数量、用户ID、识别时间、处理耗时、处理状态、错误信息、数据版本</t>
  </si>
  <si>
    <t>返回查询的结果</t>
  </si>
  <si>
    <t>输出资源预覆盖反馈的结果</t>
  </si>
  <si>
    <t>预覆盖结果输出</t>
  </si>
  <si>
    <t>查询ID、结果类型、用户ID、场景ID、处理耗时、建议操作、错误信息、业务流程、下一步操作</t>
  </si>
  <si>
    <t>离线存储</t>
  </si>
  <si>
    <t>离线文件缓存</t>
  </si>
  <si>
    <t>用户在网络不佳时操作文件</t>
  </si>
  <si>
    <t>接收缓存请求</t>
  </si>
  <si>
    <t>捕获离线文件缓存请求和文件数据</t>
  </si>
  <si>
    <t>文件数据、缓存策略、用户ID、会话ID、时间戳、业务类型、数据敏感度、优先级、存储空间、网络状态</t>
  </si>
  <si>
    <t>读取缓存数据</t>
  </si>
  <si>
    <t>获取离线文件缓存的策略配置</t>
  </si>
  <si>
    <t>缓存大小、清理策略、加密策略、同步策略、性能配置、存储路径、日志级别、安全策略、错误处理、恢复策略</t>
  </si>
  <si>
    <t>执行文件缓存</t>
  </si>
  <si>
    <t>将文件数据缓存到手机本地存储</t>
  </si>
  <si>
    <t>缓存ID、文件数据、用户ID、缓存时间、缓存大小、存储位置、加密状态、处理状态、错误信息、数据版本</t>
  </si>
  <si>
    <t>返回缓存结果</t>
  </si>
  <si>
    <t>输出文件缓存的状态和结果</t>
  </si>
  <si>
    <t>缓存状态、缓存ID、用户ID、缓存大小、存储位置、错误信息、建议操作、数据版本、同步状态、处理耗时</t>
  </si>
  <si>
    <t>离线同步</t>
  </si>
  <si>
    <t>离线文件同步</t>
  </si>
  <si>
    <t>网络恢复时</t>
  </si>
  <si>
    <t>接收同步请求</t>
  </si>
  <si>
    <t>捕获离线文件同步请求和缓存数据</t>
  </si>
  <si>
    <t>同步请求</t>
  </si>
  <si>
    <t>缓存数据、同步策略、用户ID、会话ID、时间戳、业务类型、数据敏感度、优先级、网络状态、同步范围</t>
  </si>
  <si>
    <t>读取同步策略</t>
  </si>
  <si>
    <t>获取离线文件同步的策略配置</t>
  </si>
  <si>
    <t>同步策略配置</t>
  </si>
  <si>
    <t>同步顺序、冲突处理、合并策略、性能配置、日志级别、安全策略、错误处理、恢复策略、版本控制、回滚策略</t>
  </si>
  <si>
    <t>执行文件同步</t>
  </si>
  <si>
    <t>将缓存文件同步到云夹系统</t>
  </si>
  <si>
    <t>同步记录</t>
  </si>
  <si>
    <t>同步ID、缓存数据、用户ID、同步时间、同步结果、处理耗时、同步状态、错误信息、数据版本、业务流水号</t>
  </si>
  <si>
    <t>返回同步结果</t>
  </si>
  <si>
    <t>输出文件同步的状态和结果</t>
  </si>
  <si>
    <t>同步输出</t>
  </si>
  <si>
    <t>同步状态、同步ID、用户ID、同步结果、处理耗时、错误信息、建议操作、数据版本、业务流水号、冲突报告</t>
  </si>
  <si>
    <t>数据脱敏</t>
  </si>
  <si>
    <t>文件敏感信息脱敏</t>
  </si>
  <si>
    <t>文件包含敏感信息时</t>
  </si>
  <si>
    <t>接收脱敏请求</t>
  </si>
  <si>
    <t>捕获文件敏感信息脱敏请求</t>
  </si>
  <si>
    <t>脱敏请求</t>
  </si>
  <si>
    <t>文件数据、敏感类型、用户ID、时间戳、脱敏级别、业务场景、会话标识、合规要求</t>
  </si>
  <si>
    <t>加载脱敏模型</t>
  </si>
  <si>
    <t>读取敏感信息脱敏模型</t>
  </si>
  <si>
    <t>脱敏模型配置</t>
  </si>
  <si>
    <t>模型版本、识别算法、脱敏规则、字段配置、上下文感知、性能参数、合规标准、错误处理</t>
  </si>
  <si>
    <t>执行信息脱敏</t>
  </si>
  <si>
    <t>调用脱敏引擎进行处理</t>
  </si>
  <si>
    <t>脱敏记录</t>
  </si>
  <si>
    <t>脱敏ID、原始数据、脱敏数据、用户ID、处理时间、敏感类型、脱敏强度、处理状态</t>
  </si>
  <si>
    <t>返回脱敏结果</t>
  </si>
  <si>
    <t>输出文件脱敏结果</t>
  </si>
  <si>
    <t>脱敏输出</t>
  </si>
  <si>
    <t>脱敏状态、脱敏文件、用户ID、处理时间、敏感字段、脱敏方法、合规报告、访问权限</t>
  </si>
  <si>
    <t>自动归档</t>
  </si>
  <si>
    <t>业务文件自动归档</t>
  </si>
  <si>
    <t>业务流程完成后</t>
  </si>
  <si>
    <t>接收归档请求</t>
  </si>
  <si>
    <t>捕获文件自动归档请求和业务数据</t>
  </si>
  <si>
    <t>归档请求</t>
  </si>
  <si>
    <t>业务数据、文件列表、归档规则、用户ID、会话ID、时间戳、业务类型、数据敏感度、处理优先级、归档策略</t>
  </si>
  <si>
    <t>读取归档策略</t>
  </si>
  <si>
    <t>获取文件自动归档的策略配置</t>
  </si>
  <si>
    <t>归档策略配置</t>
  </si>
  <si>
    <t>归档规则、分类策略、命名规则、存储策略、清理策略、日志级别、性能配置、安全策略、错误处理、合规要求</t>
  </si>
  <si>
    <t>执行文件归档</t>
  </si>
  <si>
    <t>执行业务文件的自动归档操作</t>
  </si>
  <si>
    <t>归档记录</t>
  </si>
  <si>
    <t>归档ID、文件列表、归档位置、用户ID、归档时间、处理耗时、归档状态、错误信息、数据版本、业务流水号</t>
  </si>
  <si>
    <t>返回归档结果</t>
  </si>
  <si>
    <t>输出文件归档的状态和结果</t>
  </si>
  <si>
    <t>归档输出</t>
  </si>
  <si>
    <t>归档状态、归档位置、文件列表、用户ID、归档ID、处理耗时、错误信息、建议操作、数据版本、业务价值</t>
  </si>
  <si>
    <t>历史归档</t>
  </si>
  <si>
    <t>历史文件智能归档</t>
  </si>
  <si>
    <t>系统检测到历史文件需要归档</t>
  </si>
  <si>
    <t>接收历史归档请求</t>
  </si>
  <si>
    <t>捕获历史文件归档请求和文件数据</t>
  </si>
  <si>
    <t>历史归档请求</t>
  </si>
  <si>
    <t>文件数据、归档条件、用户ID、会话ID、时间戳、业务类型、数据敏感度、处理优先级、归档策略、保留策略</t>
  </si>
  <si>
    <t>读取历史归档策略</t>
  </si>
  <si>
    <t>获取历史文件智能归档的策略配置</t>
  </si>
  <si>
    <t>历史归档策略配置</t>
  </si>
  <si>
    <t>执行历史归档</t>
  </si>
  <si>
    <t>执行历史文件的智能归档操作</t>
  </si>
  <si>
    <t>历史归档记录</t>
  </si>
  <si>
    <t>返回历史归档结果</t>
  </si>
  <si>
    <t>输出历史文件归档的状态和结果</t>
  </si>
  <si>
    <t>历史归档输出</t>
  </si>
  <si>
    <t>自动标签</t>
  </si>
  <si>
    <t>文件智能标签生成</t>
  </si>
  <si>
    <t>新文件上传到云夹时</t>
  </si>
  <si>
    <t>接收标签请求</t>
  </si>
  <si>
    <t>捕获文件智能标签生成请求和文件数据</t>
  </si>
  <si>
    <t>标签请求</t>
  </si>
  <si>
    <t>文件数据、文件类型、用户ID、会话ID、时间戳、标签策略、业务类型、数据敏感度、处理优先级、上下文信息</t>
  </si>
  <si>
    <t>加载标签模型</t>
  </si>
  <si>
    <t>读取文件智能标签生成模型的配置参数</t>
  </si>
  <si>
    <t>标签模型配置</t>
  </si>
  <si>
    <t>模型版本、标签算法、标签体系、置信度阈值、训练数据版本、超参数配置、性能优化、实时性要求、日志级别、内存管理</t>
  </si>
  <si>
    <t>执行标签生成</t>
  </si>
  <si>
    <t>生成文件的智能标签和分类信息</t>
  </si>
  <si>
    <t>标签记录</t>
  </si>
  <si>
    <t>标签ID、标签列表、文件ID、用户ID、生成时间、置信度、处理耗时、模型版本、处理状态、错误信息</t>
  </si>
  <si>
    <t>返回标签结果</t>
  </si>
  <si>
    <t>输出文件智能标签生成的结果</t>
  </si>
  <si>
    <t>标签输出</t>
  </si>
  <si>
    <t>标签列表、置信度、文件ID、用户ID、标签ID、处理耗时、建议操作、错误信息、数据版本、业务价值</t>
  </si>
  <si>
    <t>标签搜索</t>
  </si>
  <si>
    <t>标签智能搜索</t>
  </si>
  <si>
    <t>用户通过标签搜索文件</t>
  </si>
  <si>
    <t>接收标签搜索请求</t>
  </si>
  <si>
    <t>捕获标签智能搜索请求和标签数据</t>
  </si>
  <si>
    <t>标签搜索请求</t>
  </si>
  <si>
    <t>标签数据、搜索类型、用户ID、会话ID、时间戳、搜索范围、业务类型、数据敏感度、处理优先级、上下文信息</t>
  </si>
  <si>
    <t>加载标签搜索模型</t>
  </si>
  <si>
    <t>读取标签智能搜索模型的配置参数</t>
  </si>
  <si>
    <t>标签搜索配置</t>
  </si>
  <si>
    <t>模型版本、搜索算法、标签权重、相似度阈值、训练数据版本、超参数配置、性能优化、索引策略、日志级别、内存管理</t>
  </si>
  <si>
    <t>执行标签搜索</t>
  </si>
  <si>
    <t>执行标签智能搜索操作</t>
  </si>
  <si>
    <t>标签搜索记录</t>
  </si>
  <si>
    <t>搜索ID、搜索结果、用户ID、搜索时间、相似度分数、处理耗时、模型版本、处理状态、错误信息、数据版本</t>
  </si>
  <si>
    <t>返回标签搜索结果</t>
  </si>
  <si>
    <t>输出标签智能搜索的结果</t>
  </si>
  <si>
    <t>标签搜索输出</t>
  </si>
  <si>
    <t>搜索结果、相似度分数、文件列表、用户ID、搜索ID、处理耗时、建议操作、错误信息、数据版本、业务价值</t>
  </si>
  <si>
    <t>电子协议转订单</t>
  </si>
  <si>
    <t>业务模板展示</t>
  </si>
  <si>
    <t>业务模板匹配</t>
  </si>
  <si>
    <t>客户经理发起电子协议请求</t>
  </si>
  <si>
    <t>接收模板请求</t>
  </si>
  <si>
    <t>捕获业务模板匹配请求</t>
  </si>
  <si>
    <t>模板请求</t>
  </si>
  <si>
    <t>业务类型、用户ID、时间戳、模板分类、网格编码、集团编码、会话标识、权限级别</t>
  </si>
  <si>
    <t>读取模板配置</t>
  </si>
  <si>
    <t>获取业务模板映射配置</t>
  </si>
  <si>
    <t>模板配置</t>
  </si>
  <si>
    <t>业务类型映射、模板分类、模板版本、字段定义、权限控制、性能参数、缓存策略、错误处理</t>
  </si>
  <si>
    <t>执行模板匹配</t>
  </si>
  <si>
    <t>调用模板引擎匹配业务类型</t>
  </si>
  <si>
    <t>模板匹配记录</t>
  </si>
  <si>
    <t>匹配ID、业务类型、匹配模板、用户ID、匹配时间、匹配结果、优先级、处理状态</t>
  </si>
  <si>
    <t>返回模板结果</t>
  </si>
  <si>
    <t>输出业务模板匹配结果</t>
  </si>
  <si>
    <t>模板输出</t>
  </si>
  <si>
    <t>模板列表、模板ID、模板名称、业务类型、模板描述、适用范围、版本号、访问权限</t>
  </si>
  <si>
    <t>业务模板选择</t>
  </si>
  <si>
    <t>模板选择确认</t>
  </si>
  <si>
    <t>客户经理选择模板</t>
  </si>
  <si>
    <t>捕获模板选择确认请求</t>
  </si>
  <si>
    <t>选择请求</t>
  </si>
  <si>
    <t>模板ID、用户ID、时间戳、选择类型、业务场景、会话标识、操作类型、选择理由</t>
  </si>
  <si>
    <t>读取模板详情</t>
  </si>
  <si>
    <t>获取所选模板详细信息</t>
  </si>
  <si>
    <t>模板详情配置</t>
  </si>
  <si>
    <t>模板结构、字段定义、默认值、校验规则、业务规则、性能参数、错误处理、版本信息</t>
  </si>
  <si>
    <t>执行模板选择</t>
  </si>
  <si>
    <t>记录模板选择操作</t>
  </si>
  <si>
    <t>模板选择记录</t>
  </si>
  <si>
    <t>选择ID、模板ID、用户ID、选择时间、业务类型、选择参数、处理状态、会话标识</t>
  </si>
  <si>
    <t>输出模板选择确认结果</t>
  </si>
  <si>
    <t>选择状态、模板ID、用户ID、选择时间、模板详情、业务参数、下一步操作、访问权限</t>
  </si>
  <si>
    <t>客户信息获取及修改</t>
  </si>
  <si>
    <t>客户信息填写</t>
  </si>
  <si>
    <t>需要填写客户信息</t>
  </si>
  <si>
    <t>接收信息请求</t>
  </si>
  <si>
    <t>捕获客户信息填写请求</t>
  </si>
  <si>
    <t>信息请求</t>
  </si>
  <si>
    <t>字段类型、用户ID、时间戳、填写模式、业务场景、会话标识、验证要求、数据来源</t>
  </si>
  <si>
    <t>读取信息模板</t>
  </si>
  <si>
    <t>获取客户信息字段模板</t>
  </si>
  <si>
    <t>信息模板配置</t>
  </si>
  <si>
    <t>字段定义、数据类型、校验规则、默认值、业务规则、性能参数、错误处理、权限控制</t>
  </si>
  <si>
    <t>获取客户信息或修改信息</t>
  </si>
  <si>
    <t>调用信息填写引擎</t>
  </si>
  <si>
    <t>信息填写记录</t>
  </si>
  <si>
    <t>填写ID、客户数据、用户ID、填写时间、字段完整性、校验结果、处理状态、性能指标</t>
  </si>
  <si>
    <t>返回填写结果</t>
  </si>
  <si>
    <t>输出客户信息填写结果</t>
  </si>
  <si>
    <t>信息输出</t>
  </si>
  <si>
    <t>填写状态、客户数据、用户ID、填写时间、校验详情、业务影响、下一步建议、访问权限</t>
  </si>
  <si>
    <t>业务套餐</t>
  </si>
  <si>
    <t>套餐资费填写</t>
  </si>
  <si>
    <t>需要填写业务套餐</t>
  </si>
  <si>
    <t>接收套餐请求</t>
  </si>
  <si>
    <t>捕获业务套餐填写请求</t>
  </si>
  <si>
    <t>套餐请求</t>
  </si>
  <si>
    <t>套餐类型、用户ID、时间戳、资费标准、业务场景、会话标识、套餐参数、选择模式</t>
  </si>
  <si>
    <t>读取套餐配置</t>
  </si>
  <si>
    <t>获取业务套餐配置信息</t>
  </si>
  <si>
    <t>套餐配置</t>
  </si>
  <si>
    <t>套餐定义、资费标准、服务期限、限制条件、业务规则、性能参数、错误处理、版本控制</t>
  </si>
  <si>
    <t>执行套餐填写</t>
  </si>
  <si>
    <t>调用套餐填写引擎</t>
  </si>
  <si>
    <t>套餐填写记录</t>
  </si>
  <si>
    <t>填写ID、套餐数据、用户ID、填写时间、资费校验、服务期限、处理状态、业务影响</t>
  </si>
  <si>
    <t>返回套餐结果</t>
  </si>
  <si>
    <t>输出业务套餐填写结果</t>
  </si>
  <si>
    <t>套餐输出</t>
  </si>
  <si>
    <t>填写状态、套餐数据、用户ID、填写时间、资费详情、服务期限、业务价值、访问权限</t>
  </si>
  <si>
    <t>条款编辑管理</t>
  </si>
  <si>
    <t>条款编辑</t>
  </si>
  <si>
    <t>需要编辑个性化条款</t>
  </si>
  <si>
    <t>接收条款请求</t>
  </si>
  <si>
    <t>捕获个性化条款编辑请求</t>
  </si>
  <si>
    <t>条款请求</t>
  </si>
  <si>
    <t>条款类型、操作类型、用户ID、时间戳、条款内容、业务场景、会话标识、编辑模式</t>
  </si>
  <si>
    <t>读取条款模板</t>
  </si>
  <si>
    <t>获取个性化条款模板</t>
  </si>
  <si>
    <t>条款模板配置</t>
  </si>
  <si>
    <t>条款类型、默认内容、编辑规则、校验规则、业务规则、性能参数、错误处理、版本管理</t>
  </si>
  <si>
    <t>执行条款编辑</t>
  </si>
  <si>
    <t>调用条款编辑引擎</t>
  </si>
  <si>
    <t>条款编辑记录</t>
  </si>
  <si>
    <t>编辑ID、条款数据、用户ID、编辑时间、操作类型、条款版本、处理状态、业务影响</t>
  </si>
  <si>
    <t>返回条款结果</t>
  </si>
  <si>
    <t>输出个性化条款编辑结果</t>
  </si>
  <si>
    <t>条款输出</t>
  </si>
  <si>
    <t>编辑状态、条款数据、用户ID、编辑时间、操作详情、版本历史、业务建议、访问权限</t>
  </si>
  <si>
    <t>电子协议PDF生成</t>
  </si>
  <si>
    <t>客户经理点击生成协议</t>
  </si>
  <si>
    <t>接收生成请求</t>
  </si>
  <si>
    <t>捕获电子协议生成请求</t>
  </si>
  <si>
    <t>生成请求</t>
  </si>
  <si>
    <t>协议数据、用户ID、时间戳、生成参数、业务场景、会话标识、模板ID、生成模式</t>
  </si>
  <si>
    <t>读取生成配置</t>
  </si>
  <si>
    <t>获取PDF生成配置</t>
  </si>
  <si>
    <t>生成配置</t>
  </si>
  <si>
    <t>生成引擎、页面布局、字体设置、水印配置、签名位置、安全设置、性能参数、错误处理</t>
  </si>
  <si>
    <t>执行协议生成</t>
  </si>
  <si>
    <t>调用PDF生成引擎</t>
  </si>
  <si>
    <t>生成记录</t>
  </si>
  <si>
    <t>生成ID、协议数据、PDF文件、用户ID、生成时间、文件大小、唯一编号、处理状态</t>
  </si>
  <si>
    <t>返回生成结果</t>
  </si>
  <si>
    <t>输出电子协议生成结果</t>
  </si>
  <si>
    <t>生成输出</t>
  </si>
  <si>
    <t>生成状态、协议ID、PDF文件、用户ID、生成时间、唯一编号、文件大小、下载链接</t>
  </si>
  <si>
    <t>文件下载</t>
  </si>
  <si>
    <t>电子协议下载</t>
  </si>
  <si>
    <t>客户经理需要下载协议</t>
  </si>
  <si>
    <t>接收下载请求</t>
  </si>
  <si>
    <t>捕获电子协议下载请求</t>
  </si>
  <si>
    <t>下载请求</t>
  </si>
  <si>
    <t>协议ID、用户ID、时间戳、下载类型、业务场景、会话标识、设备信息、下载原因</t>
  </si>
  <si>
    <t>读取下载配置</t>
  </si>
  <si>
    <t>获取文件下载配置</t>
  </si>
  <si>
    <t>下载配置</t>
  </si>
  <si>
    <t>下载引擎、文件格式、压缩方式、加密设置、性能参数、错误处理、访问控制、日志审计</t>
  </si>
  <si>
    <t>执行文件下载</t>
  </si>
  <si>
    <t>调用文件下载引擎</t>
  </si>
  <si>
    <t>下载记录</t>
  </si>
  <si>
    <t>下载ID、协议ID、文件数据、用户ID、下载时间、文件大小、下载状态、设备信息</t>
  </si>
  <si>
    <t>返回下载结果</t>
  </si>
  <si>
    <t>输出电子协议下载结果</t>
  </si>
  <si>
    <t>下载输出</t>
  </si>
  <si>
    <t>下载状态、协议ID、用户ID、下载时间、文件大小、下载路径、访问记录、处理详情</t>
  </si>
  <si>
    <t>签署位置</t>
  </si>
  <si>
    <t>签名位置标记</t>
  </si>
  <si>
    <t>需要设置签名位置</t>
  </si>
  <si>
    <t>接收位置请求</t>
  </si>
  <si>
    <t>捕获签名位置标记请求</t>
  </si>
  <si>
    <t>位置请求</t>
  </si>
  <si>
    <t>协议ID、位置类型、用户ID、时间戳、坐标信息、业务场景、会话标识、签署方信息</t>
  </si>
  <si>
    <t>读取位置配置</t>
  </si>
  <si>
    <t>获取签名位置配置</t>
  </si>
  <si>
    <t>位置配置</t>
  </si>
  <si>
    <t>位置算法、坐标系、签署方映射、字段关联、校验规则、性能参数、错误处理、安全策略</t>
  </si>
  <si>
    <t>执行位置标记</t>
  </si>
  <si>
    <t>调用位置标记引擎</t>
  </si>
  <si>
    <t>位置标记记录</t>
  </si>
  <si>
    <t>标记ID、协议ID、位置数据、用户ID、标记时间、签署方、校验结果、处理状态</t>
  </si>
  <si>
    <t>返回位置结果</t>
  </si>
  <si>
    <t>输出签名位置标记结果</t>
  </si>
  <si>
    <t>位置输出</t>
  </si>
  <si>
    <t>标记状态、协议ID、位置坐标、用户ID、标记时间、签署方信息、校验详情、访问权限</t>
  </si>
  <si>
    <t>手写签名</t>
  </si>
  <si>
    <t>手写签名采集</t>
  </si>
  <si>
    <t>需要手写签名</t>
  </si>
  <si>
    <t>接收签名请求</t>
  </si>
  <si>
    <t>捕获手写签名采集请求</t>
  </si>
  <si>
    <t>签名请求</t>
  </si>
  <si>
    <t>协议ID、签署类型、用户ID、时间戳、签名参数、业务场景、会话标识、设备信息</t>
  </si>
  <si>
    <t>读取签名配置</t>
  </si>
  <si>
    <t>获取手写签名配置</t>
  </si>
  <si>
    <t>签名配置</t>
  </si>
  <si>
    <t>签名算法、笔迹识别、压力感应、平滑处理、性能参数、错误处理、存储优化、安全加密</t>
  </si>
  <si>
    <t>执行签名采集</t>
  </si>
  <si>
    <t>调用手写签名引擎</t>
  </si>
  <si>
    <t>签名采集记录</t>
  </si>
  <si>
    <t>采集ID、协议ID、签名数据、用户ID、采集时间、笔迹质量、压力数据、处理状态</t>
  </si>
  <si>
    <t>返回签名结果</t>
  </si>
  <si>
    <t>输出手写签名采集结果</t>
  </si>
  <si>
    <t>签名输出</t>
  </si>
  <si>
    <t>采集状态、协议ID、签名图像、用户ID、采集时间、质量评分、存储路径、访问权限</t>
  </si>
  <si>
    <t>电子签章</t>
  </si>
  <si>
    <t>电子签章应用</t>
  </si>
  <si>
    <t>需要应用电子签章</t>
  </si>
  <si>
    <t>接收签章请求</t>
  </si>
  <si>
    <t>捕获电子签章应用请求</t>
  </si>
  <si>
    <t>签章请求</t>
  </si>
  <si>
    <t>协议ID、签章类型、用户ID、时间戳、签章位置、业务场景、会话标识、法律要求</t>
  </si>
  <si>
    <t>读取签章配置</t>
  </si>
  <si>
    <t>获取电子签章配置</t>
  </si>
  <si>
    <t>签章配置</t>
  </si>
  <si>
    <t>签章类型、证书配置、法律合规、位置映射、性能参数、错误处理、安全策略、审计要求</t>
  </si>
  <si>
    <t>执行签章应用</t>
  </si>
  <si>
    <t>调用电子签章引擎</t>
  </si>
  <si>
    <t>签章记录</t>
  </si>
  <si>
    <t>签章ID、协议ID、签章数据、用户ID、应用时间、法律效力、处理状态、验证结果</t>
  </si>
  <si>
    <t>返回签章结果</t>
  </si>
  <si>
    <t>输出电子签章应用结果</t>
  </si>
  <si>
    <t>签章输出</t>
  </si>
  <si>
    <t>应用状态、协议ID、签章图像、用户ID、应用时间、法律效力、存储路径、访问权限</t>
  </si>
  <si>
    <t>盖章文件上传</t>
  </si>
  <si>
    <t>盖章协议上传</t>
  </si>
  <si>
    <t>客户经理上传盖章协议</t>
  </si>
  <si>
    <t>捕获盖章协议上传请求</t>
  </si>
  <si>
    <t>文件数据、协议ID、用户ID、时间戳、上传类型、业务场景、会话标识、文件格式</t>
  </si>
  <si>
    <t>读取上传配置</t>
  </si>
  <si>
    <t>获取文件上传配置</t>
  </si>
  <si>
    <t>上传配置</t>
  </si>
  <si>
    <t>上传引擎、文件分片、压缩设置、加密方式、性能参数、错误处理、安全策略、日志审计</t>
  </si>
  <si>
    <t>调用文件上传引擎</t>
  </si>
  <si>
    <t>上传ID、文件数据、协议ID、用户ID、上传时间、文件大小、存储路径、处理状态</t>
  </si>
  <si>
    <t>输出盖章协议上传结果</t>
  </si>
  <si>
    <t>上传输出</t>
  </si>
  <si>
    <t>上传状态、协议ID、用户ID、上传时间、文件大小、存储路径、访问URL、处理详情</t>
  </si>
  <si>
    <t>电子协议内容识别</t>
  </si>
  <si>
    <t>上传盖章协议后</t>
  </si>
  <si>
    <t>捕获电子协议内容识别请求</t>
  </si>
  <si>
    <t>识别请求</t>
  </si>
  <si>
    <t>协议ID、文件数据、用户ID、时间戳、识别类型、业务场景、会话标识、识别精度</t>
  </si>
  <si>
    <t>加载识别模型</t>
  </si>
  <si>
    <t>读取协议内容识别模型配置</t>
  </si>
  <si>
    <t>识别模型配置</t>
  </si>
  <si>
    <t>模型版本、识别算法、字段映射、文本提取、表格识别、性能参数、错误处理、更新机制</t>
  </si>
  <si>
    <t>执行内容识别</t>
  </si>
  <si>
    <t>调用AI引擎识别协议内容</t>
  </si>
  <si>
    <t>识别记录</t>
  </si>
  <si>
    <t>识别ID、协议ID、识别结果、用户ID、识别时间、字段完整性、置信度、处理状态</t>
  </si>
  <si>
    <t>输出电子协议内容识别结果</t>
  </si>
  <si>
    <t>识别输出</t>
  </si>
  <si>
    <t>识别状态、协议ID、用户ID、识别时间、识别详情、字段映射、错误信息、访问权限</t>
  </si>
  <si>
    <t>客户信息提取</t>
  </si>
  <si>
    <t>客户信息智能提取</t>
  </si>
  <si>
    <t>协议识别完成后</t>
  </si>
  <si>
    <t>接收提取请求</t>
  </si>
  <si>
    <t>捕获客户信息提取请求</t>
  </si>
  <si>
    <t>提取请求</t>
  </si>
  <si>
    <t>协议ID、提取类型、用户ID、时间戳、客户字段、业务场景、会话标识、提取精度</t>
  </si>
  <si>
    <t>加载提取规则</t>
  </si>
  <si>
    <t>读取客户信息提取规则</t>
  </si>
  <si>
    <t>提取规则配置</t>
  </si>
  <si>
    <t>字段映射、校验规则、默认值、业务规则、性能参数、错误处理、数据清洗、格式转换</t>
  </si>
  <si>
    <t>执行信息提取</t>
  </si>
  <si>
    <t>调用信息提取引擎</t>
  </si>
  <si>
    <t>提取记录</t>
  </si>
  <si>
    <t>提取ID、协议ID、客户数据、用户ID、提取时间、数据质量、校验结果、处理状态</t>
  </si>
  <si>
    <t>返回提取结果</t>
  </si>
  <si>
    <t>输出客户信息提取结果</t>
  </si>
  <si>
    <t>提取输出</t>
  </si>
  <si>
    <t>提取状态、协议ID、客户数据、用户ID、提取时间、数据完整性、校验详情、访问权限</t>
  </si>
  <si>
    <t>业务套餐识别</t>
  </si>
  <si>
    <t>套餐资费智能识别</t>
  </si>
  <si>
    <t>接收套餐提取请求</t>
  </si>
  <si>
    <t>捕获业务套餐提取请求</t>
  </si>
  <si>
    <t>套餐提取请求</t>
  </si>
  <si>
    <t>协议ID、套餐类型、用户ID、时间戳、资费字段、业务场景、会话标识、提取策略</t>
  </si>
  <si>
    <t>读取套餐规则</t>
  </si>
  <si>
    <t>获取业务套餐提取规则</t>
  </si>
  <si>
    <t>套餐规则配置</t>
  </si>
  <si>
    <t>套餐映射、资费校验、服务期限、限制条件、业务规则、性能参数、错误处理、版本控制</t>
  </si>
  <si>
    <t>执行套餐提取</t>
  </si>
  <si>
    <t>调用套餐提取引擎</t>
  </si>
  <si>
    <t>套餐提取记录</t>
  </si>
  <si>
    <t>提取ID、协议ID、套餐数据、用户ID、提取时间、资费校验、服务期限、处理状态</t>
  </si>
  <si>
    <t>返回套餐提取结果</t>
  </si>
  <si>
    <t>输出业务套餐提取结果</t>
  </si>
  <si>
    <t>套餐提取输出</t>
  </si>
  <si>
    <t>提取状态、协议ID、套餐数据、用户ID、提取时间、资费详情、服务期限、业务价值</t>
  </si>
  <si>
    <t>完整性校验</t>
  </si>
  <si>
    <t>数据完整性校验</t>
  </si>
  <si>
    <t>数据提取完成后</t>
  </si>
  <si>
    <t>接收校验请求</t>
  </si>
  <si>
    <t>捕获数据完整性校验请求</t>
  </si>
  <si>
    <t>校验请求</t>
  </si>
  <si>
    <t>协议ID、校验类型、用户ID、时间戳、校验字段、业务场景、会话标识、校验级别</t>
  </si>
  <si>
    <t>读取校验规则</t>
  </si>
  <si>
    <t>获取数据完整性校验规则</t>
  </si>
  <si>
    <t>校验规则配置</t>
  </si>
  <si>
    <t>必填字段、格式校验、范围校验、关联校验、业务规则、性能参数、错误处理、审计要求</t>
  </si>
  <si>
    <t>执行完整性校验</t>
  </si>
  <si>
    <t>调用完整性校验引擎</t>
  </si>
  <si>
    <t>完整性校验记录</t>
  </si>
  <si>
    <t>校验ID、协议ID、校验结果、用户ID、校验时间、缺失字段、错误详情、处理状态</t>
  </si>
  <si>
    <t>返回校验结果</t>
  </si>
  <si>
    <t>输出数据完整性校验结果</t>
  </si>
  <si>
    <t>完整性校验输出</t>
  </si>
  <si>
    <t>校验状态、协议ID、用户ID、校验时间、缺失字段、错误详情、修复建议、访问权限</t>
  </si>
  <si>
    <t>业务合规性校验</t>
  </si>
  <si>
    <t>数据校验通过后</t>
  </si>
  <si>
    <t>接收业务校验请求</t>
  </si>
  <si>
    <t>捕获业务合规性校验请求</t>
  </si>
  <si>
    <t>业务校验请求</t>
  </si>
  <si>
    <t>协议ID、业务类型、用户ID、时间戳、校验规则、业务场景、会话标识、合规标准</t>
  </si>
  <si>
    <t>获取业务合规性校验规则</t>
  </si>
  <si>
    <t>资费标准、套餐限制、客户资质、信用额度、业务政策、性能参数、错误处理、合规要求</t>
  </si>
  <si>
    <t>执行业务校验</t>
  </si>
  <si>
    <t>调用业务校验引擎</t>
  </si>
  <si>
    <t>业务校验记录</t>
  </si>
  <si>
    <t>校验ID、协议ID、校验结果、用户ID、校验时间、合规状态、风险等级、处理状态</t>
  </si>
  <si>
    <t>返回业务校验结果</t>
  </si>
  <si>
    <t>输出业务合规性校验结果</t>
  </si>
  <si>
    <t>业务校验输出</t>
  </si>
  <si>
    <t>校验状态、协议ID、用户ID、校验时间、合规详情、风险提示、处理建议、访问权限</t>
  </si>
  <si>
    <t>电子协议转订单创建</t>
  </si>
  <si>
    <t>业务校验通过后</t>
  </si>
  <si>
    <t>捕获电子协议转订单转换请求</t>
  </si>
  <si>
    <t>转换请求</t>
  </si>
  <si>
    <t>协议ID、订单类型、用户ID、时间戳、转换策略、业务场景、会话标识、审批要求</t>
  </si>
  <si>
    <t>读取转换规则</t>
  </si>
  <si>
    <t>获取转换规则配置</t>
  </si>
  <si>
    <t>转换规则配置</t>
  </si>
  <si>
    <t>字段映射、数据转换、业务逻辑、校验规则、性能参数、错误处理、事务管理、日志审计</t>
  </si>
  <si>
    <t>执行协议转换</t>
  </si>
  <si>
    <t>调用转换引擎进行协议转订单</t>
  </si>
  <si>
    <t>转换记录</t>
  </si>
  <si>
    <t>转换ID、协议ID、订单数据、用户ID、转换时间、映射结果、校验状态、处理状态</t>
  </si>
  <si>
    <t>输出电子协议转订单转换结果</t>
  </si>
  <si>
    <t>转换输出</t>
  </si>
  <si>
    <t>转换状态、协议ID、订单ID、用户ID、转换时间、订单详情、业务影响、访问权限</t>
  </si>
  <si>
    <t>与业务系统集成</t>
  </si>
  <si>
    <t>BOSS系统订单提交</t>
  </si>
  <si>
    <t>订单创建完成后</t>
  </si>
  <si>
    <t>接收BOSS提交请求</t>
  </si>
  <si>
    <t>捕获BOSS系统订单提交请求</t>
  </si>
  <si>
    <t>BOSS提交请求</t>
  </si>
  <si>
    <t>订单ID、提交类型、用户ID、时间戳、系统接口、业务场景、会话标识、同步模式</t>
  </si>
  <si>
    <t>读取BOSS配置</t>
  </si>
  <si>
    <t>获取BOSS系统对接配置</t>
  </si>
  <si>
    <t>BOSS配置</t>
  </si>
  <si>
    <t>接口地址、认证方式、字段映射、错误处理、重试机制、性能参数、安全策略、日志审计</t>
  </si>
  <si>
    <t>执行BOSS提交</t>
  </si>
  <si>
    <t>调用BOSS系统提交引擎</t>
  </si>
  <si>
    <t>BOSS提交记录</t>
  </si>
  <si>
    <t>提交ID、订单ID、提交结果、用户ID、提交时间、系统响应、错误信息、处理状态</t>
  </si>
  <si>
    <t>返回BOSS提交结果</t>
  </si>
  <si>
    <t>输出BOSS系统订单提交结果</t>
  </si>
  <si>
    <t>BOSS提交输出</t>
  </si>
  <si>
    <t>提交状态、订单ID、用户ID、提交时间、系统响应、错误详情、处理建议、访问权限</t>
  </si>
  <si>
    <t>CRM客户数据同步</t>
  </si>
  <si>
    <t>订单提交成功后</t>
  </si>
  <si>
    <t>接收CRM同步请求</t>
  </si>
  <si>
    <t>捕获CRM客户数据同步请求</t>
  </si>
  <si>
    <t>CRM同步请求</t>
  </si>
  <si>
    <t>订单ID、同步类型、用户ID、时间戳、客户数据、业务场景、会话标识、同步策略</t>
  </si>
  <si>
    <t>读取CRM配置</t>
  </si>
  <si>
    <t>获取CRM系统同步配置</t>
  </si>
  <si>
    <t>接口规范、客户匹配、字段映射、更新策略、性能参数、错误处理、安全加密、日志审计</t>
  </si>
  <si>
    <t>执行CRM同步</t>
  </si>
  <si>
    <t>调用CRM同步引擎</t>
  </si>
  <si>
    <t>CRM同步记录</t>
  </si>
  <si>
    <t>同步ID、订单ID、客户数据、用户ID、同步时间、匹配结果、更新状态、处理状态</t>
  </si>
  <si>
    <t>返回CRM同步结果</t>
  </si>
  <si>
    <t>输出CRM客户数据同步结果</t>
  </si>
  <si>
    <t>CRM同步输出</t>
  </si>
  <si>
    <t>同步状态、订单ID、客户ID、用户ID、同步时间、匹配详情、更新结果、访问权限</t>
  </si>
  <si>
    <t>结果校验</t>
  </si>
  <si>
    <t>订单结果校验</t>
  </si>
  <si>
    <t>BOSS提交完成后</t>
  </si>
  <si>
    <t>接收结果校验请求</t>
  </si>
  <si>
    <t>捕获订单结果校验请求</t>
  </si>
  <si>
    <t>结果校验请求</t>
  </si>
  <si>
    <t>订单ID、校验类型、用户ID、时间戳、校验标准、业务场景、会话标识、校验深度</t>
  </si>
  <si>
    <t>读取结果校验规则</t>
  </si>
  <si>
    <t>获取订单结果校验规则</t>
  </si>
  <si>
    <t>结果校验规则配置</t>
  </si>
  <si>
    <t>校验标准、状态映射、错误码解析、重试策略、性能参数、错误处理、业务规则、审计要求</t>
  </si>
  <si>
    <t>执行结果校验</t>
  </si>
  <si>
    <t>调用结果校验引擎</t>
  </si>
  <si>
    <t>结果校验记录</t>
  </si>
  <si>
    <t>校验ID、订单ID、校验结果、用户ID、校验时间、系统状态、错误详情、处理状态</t>
  </si>
  <si>
    <t>返回结果校验结果</t>
  </si>
  <si>
    <t>输出订单结果校验结果</t>
  </si>
  <si>
    <t>结果校验输出</t>
  </si>
  <si>
    <t>校验状态、订单ID、用户ID、校验时间、系统响应、错误详情、处理建议、访问权限</t>
  </si>
  <si>
    <t>重试机制</t>
  </si>
  <si>
    <t>订单提交重试</t>
  </si>
  <si>
    <t>订单提交失败时</t>
  </si>
  <si>
    <t>接收重试请求</t>
  </si>
  <si>
    <t>捕获订单提交重试请求</t>
  </si>
  <si>
    <t>重试请求</t>
  </si>
  <si>
    <t>订单ID、重试次数、用户ID、时间戳、重试策略、业务场景、会话标识、失败原因</t>
  </si>
  <si>
    <t>读取重试配置</t>
  </si>
  <si>
    <t>获取订单重试配置</t>
  </si>
  <si>
    <t>重试配置</t>
  </si>
  <si>
    <t>重试策略、间隔时间、最大次数、退避算法、性能参数、错误处理、日志审计、通知规则</t>
  </si>
  <si>
    <t>执行订单重试</t>
  </si>
  <si>
    <t>调用订单重试引擎</t>
  </si>
  <si>
    <t>重试记录</t>
  </si>
  <si>
    <t>重试ID、订单ID、重试结果、用户ID、重试时间、重试次数、系统响应、处理状态</t>
  </si>
  <si>
    <t>返回重试结果</t>
  </si>
  <si>
    <t>输出订单提交重试结果</t>
  </si>
  <si>
    <t>重试输出</t>
  </si>
  <si>
    <t>重试状态、订单ID、用户ID、重试时间、重试次数、系统响应、错误详情、访问权限</t>
  </si>
  <si>
    <t>订单状态</t>
  </si>
  <si>
    <t>订单状态追踪</t>
  </si>
  <si>
    <t>需要查看订单状态</t>
  </si>
  <si>
    <t>接收状态查询请求</t>
  </si>
  <si>
    <t>捕获订单状态查询请求</t>
  </si>
  <si>
    <t>状态查询请求</t>
  </si>
  <si>
    <t>订单ID、查询类型、用户ID、时间戳、查询深度、业务场景、会话标识、实时要求</t>
  </si>
  <si>
    <t>获取订单状态查询配置</t>
  </si>
  <si>
    <t>状态配置</t>
  </si>
  <si>
    <t>状态映射、查询接口、缓存策略、实时性要求、性能参数、错误处理、安全策略、日志审计</t>
  </si>
  <si>
    <t>执行状态查询</t>
  </si>
  <si>
    <t>调用状态查询引擎</t>
  </si>
  <si>
    <t>状态查询记录</t>
  </si>
  <si>
    <t>查询ID、订单ID、状态数据、用户ID、查询时间、系统响应、处理状态、性能指标</t>
  </si>
  <si>
    <t>返回状态查询结果</t>
  </si>
  <si>
    <t>输出订单状态查询结果</t>
  </si>
  <si>
    <t>状态查询输出</t>
  </si>
  <si>
    <t>查询状态、订单ID、当前状态、用户ID、查询时间、状态详情、下一步骤、访问权限</t>
  </si>
  <si>
    <t>客户提醒</t>
  </si>
  <si>
    <t>客户业务提醒通知</t>
  </si>
  <si>
    <t>业务开通完成后</t>
  </si>
  <si>
    <t>接收客户提醒通知请求</t>
  </si>
  <si>
    <t>捕获客户业务开通通知请求</t>
  </si>
  <si>
    <t>客户通知请求</t>
  </si>
  <si>
    <t>订单ID、客户信息、用户ID、时间戳、通知内容、业务场景、会话标识、通知方式</t>
  </si>
  <si>
    <t>读取客户提醒通知配置</t>
  </si>
  <si>
    <t>获取客户通知配置</t>
  </si>
  <si>
    <t>客户通知配置</t>
  </si>
  <si>
    <t>通知模板、客户渠道、个性化设置、发送策略、性能参数、错误处理、隐私保护、合规要求</t>
  </si>
  <si>
    <t>执行提醒通知</t>
  </si>
  <si>
    <t>调用客户通知引擎</t>
  </si>
  <si>
    <t>客户通知记录</t>
  </si>
  <si>
    <t>通知ID、订单ID、客户数据、用户ID、发送时间、通知内容、发送状态、客户反馈</t>
  </si>
  <si>
    <t>返回客提醒通知结果</t>
  </si>
  <si>
    <t>输出客户业务开通通知结果</t>
  </si>
  <si>
    <t>客户通知输出</t>
  </si>
  <si>
    <t>通知状态、订单ID、客户ID、用户ID、发送时间、通知内容、客户反馈、访问权限</t>
  </si>
  <si>
    <t>处理反馈</t>
  </si>
  <si>
    <t>订单处理反馈收集</t>
  </si>
  <si>
    <t>需要收集处理反馈</t>
  </si>
  <si>
    <t>接收反馈收集请求</t>
  </si>
  <si>
    <t>捕获订单处理反馈收集请求</t>
  </si>
  <si>
    <t>反馈收集请求</t>
  </si>
  <si>
    <t>订单ID、反馈类型、用户ID、时间戳、收集方式、业务场景、会话标识、反馈深度</t>
  </si>
  <si>
    <t>读取反馈收集配置</t>
  </si>
  <si>
    <t>获取反馈收集配置</t>
  </si>
  <si>
    <t>反馈收集配置</t>
  </si>
  <si>
    <t>收集策略、问题模板、评分规则、分析算法、性能参数、错误处理、存储策略、隐私保护</t>
  </si>
  <si>
    <t>执行反馈收集</t>
  </si>
  <si>
    <t>调用反馈收集引擎</t>
  </si>
  <si>
    <t>反馈收集记录</t>
  </si>
  <si>
    <t>收集ID、订单ID、反馈数据、用户ID、收集时间、反馈内容、处理状态、分析结果</t>
  </si>
  <si>
    <t>返回反馈收集结果</t>
  </si>
  <si>
    <t>输出订单处理反馈收集结果</t>
  </si>
  <si>
    <t>反馈收集输出</t>
  </si>
  <si>
    <t>收集状态、订单ID、用户ID、收集时间、反馈内容、分析结果、改进建议、访问权限</t>
  </si>
  <si>
    <t>客户反馈</t>
  </si>
  <si>
    <t>客户满意度反馈</t>
  </si>
  <si>
    <t>业务开通后</t>
  </si>
  <si>
    <t>接收客户反馈请求</t>
  </si>
  <si>
    <t>捕获客户满意度反馈请求</t>
  </si>
  <si>
    <t>客户反馈请求</t>
  </si>
  <si>
    <t>订单ID、客户ID、用户ID、时间戳、反馈类型、业务场景、会话标识、收集方式</t>
  </si>
  <si>
    <t>读取客户反馈配置</t>
  </si>
  <si>
    <t>获取客户满意度反馈配置</t>
  </si>
  <si>
    <t>客户反馈配置</t>
  </si>
  <si>
    <t>反馈模板、评分标准、收集策略、分析算法、性能参数、错误处理、存储优化、合规要求</t>
  </si>
  <si>
    <t>执行客户反馈</t>
  </si>
  <si>
    <t>调用客户反馈引擎</t>
  </si>
  <si>
    <t>客户反馈记录</t>
  </si>
  <si>
    <t>反馈ID、订单ID、客户数据、用户ID、反馈时间、满意度评分、反馈内容、处理状态</t>
  </si>
  <si>
    <t>返回客户反馈结果</t>
  </si>
  <si>
    <t>输出客户满意度反馈结果</t>
  </si>
  <si>
    <t>客户反馈输出</t>
  </si>
  <si>
    <t>反馈状态、订单ID、客户ID、用户ID、反馈时间、满意度评分、改进建议、访问权限</t>
  </si>
  <si>
    <t>协议识别</t>
  </si>
  <si>
    <t>内容识别</t>
  </si>
  <si>
    <t>数据提取</t>
  </si>
  <si>
    <t>业务套餐提取</t>
  </si>
  <si>
    <t>套餐资费智能提取</t>
  </si>
  <si>
    <t>数据校验</t>
  </si>
  <si>
    <t>订单创建</t>
  </si>
  <si>
    <t>转换引擎</t>
  </si>
  <si>
    <t>电子协议转订单转换</t>
  </si>
  <si>
    <t>唯一编号</t>
  </si>
  <si>
    <t>订单唯一编号生成</t>
  </si>
  <si>
    <t>订单创建时</t>
  </si>
  <si>
    <t>接收订单编号请求</t>
  </si>
  <si>
    <t>捕获订单唯一编号生成请求</t>
  </si>
  <si>
    <t>订单编号请求</t>
  </si>
  <si>
    <t>业务类型、用户ID、时间戳、编号规则、网格编码、集团编码、会话标识、业务场景</t>
  </si>
  <si>
    <t>读取订单编号规则</t>
  </si>
  <si>
    <t>获取订单唯一编号规则</t>
  </si>
  <si>
    <t>订单编号规则配置</t>
  </si>
  <si>
    <t>编号格式、前缀规则、序列规则、校验算法、冲突处理、性能参数、错误处理、版本控制</t>
  </si>
  <si>
    <t>执行订单编号生成</t>
  </si>
  <si>
    <t>调用订单编号生成引擎</t>
  </si>
  <si>
    <t>订单编号记录</t>
  </si>
  <si>
    <t>生成ID、订单数据、订单编号、用户ID、生成时间、校验结果、唯一性验证、处理状态</t>
  </si>
  <si>
    <t>返回订单编号结果</t>
  </si>
  <si>
    <t>输出订单唯一编号结果</t>
  </si>
  <si>
    <t>订单编号输出</t>
  </si>
  <si>
    <t>生成状态、订单编号、用户ID、生成时间、校验详情、编号规则、业务映射、访问权限</t>
  </si>
  <si>
    <t>订单提交</t>
  </si>
  <si>
    <t>BOSS对接</t>
  </si>
  <si>
    <t>CRM对接</t>
  </si>
  <si>
    <t>订单验证</t>
  </si>
  <si>
    <t>异常处理</t>
  </si>
  <si>
    <t>人工干预</t>
  </si>
  <si>
    <t>订单人工干预</t>
  </si>
  <si>
    <t>自动处理失败时</t>
  </si>
  <si>
    <t>接收人工干预请求</t>
  </si>
  <si>
    <t>捕获订单人工干预请求</t>
  </si>
  <si>
    <t>人工干预请求</t>
  </si>
  <si>
    <t>订单ID、干预类型、用户ID、时间戳、失败原因、业务场景、会话标识、处理权限</t>
  </si>
  <si>
    <t>读取人工干预配置</t>
  </si>
  <si>
    <t>获取人工干预配置</t>
  </si>
  <si>
    <t>人工干预配置</t>
  </si>
  <si>
    <t>干预流程、权限控制、处理规则、通知策略、性能参数、错误处理、审计要求、合规检查</t>
  </si>
  <si>
    <t>执行人工干预</t>
  </si>
  <si>
    <t>调用人工干预引擎</t>
  </si>
  <si>
    <t>人工干预记录</t>
  </si>
  <si>
    <t>干预ID、订单ID、干预结果、用户ID、干预时间、处理详情、审批状态、处理状态</t>
  </si>
  <si>
    <t>返回人工干预结果</t>
  </si>
  <si>
    <t>输出订单人工干预结果</t>
  </si>
  <si>
    <t>人工干预输出</t>
  </si>
  <si>
    <t>干预状态、订单ID、用户ID、干预时间、处理详情、审批结果、后续步骤、访问权限</t>
  </si>
  <si>
    <t>状态管理</t>
  </si>
  <si>
    <t>通知反馈</t>
  </si>
  <si>
    <t>处理通知</t>
  </si>
  <si>
    <t>订单处理通知</t>
  </si>
  <si>
    <t>订单处理完成后</t>
  </si>
  <si>
    <t>接收通知请求</t>
  </si>
  <si>
    <t>捕获订单处理通知请求</t>
  </si>
  <si>
    <t>通知请求</t>
  </si>
  <si>
    <t>订单ID、通知类型、用户ID、时间戳、接收方、业务场景、会话标识、通知级别</t>
  </si>
  <si>
    <t>读取通知配置</t>
  </si>
  <si>
    <t>获取订单处理通知配置</t>
  </si>
  <si>
    <t>通知配置</t>
  </si>
  <si>
    <t>通知渠道、模板配置、频率控制、重试机制、性能参数、错误处理、审计要求、合规检查</t>
  </si>
  <si>
    <t>执行通知发送</t>
  </si>
  <si>
    <t>调用通知发送引擎</t>
  </si>
  <si>
    <t>通知记录</t>
  </si>
  <si>
    <t>通知ID、订单ID、通知内容、用户ID、发送时间、接收方、发送状态、处理结果</t>
  </si>
  <si>
    <t>返回通知结果</t>
  </si>
  <si>
    <t>输出订单处理通知结果</t>
  </si>
  <si>
    <t>通知输出</t>
  </si>
  <si>
    <t>通知状态、订单ID、用户ID、发送时间、接收方、通知内容、发送详情、访问权限</t>
  </si>
  <si>
    <t>客户通知</t>
  </si>
  <si>
    <t>客户业务开通通知</t>
  </si>
  <si>
    <t>接收客户通知请求</t>
  </si>
  <si>
    <t>读取客户通知配置</t>
  </si>
  <si>
    <t>执行客户通知</t>
  </si>
  <si>
    <t>返回客户通知结果</t>
  </si>
  <si>
    <t>业务反馈</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</si>
</sst>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s>
  <fonts count="39">
    <font>
      <sz val="11"/>
      <color theme="1"/>
      <name val="宋体"/>
      <charset val="134"/>
      <scheme val="minor"/>
    </font>
    <font>
      <b/>
      <sz val="11"/>
      <color theme="1"/>
      <name val="宋体"/>
      <charset val="134"/>
      <scheme val="minor"/>
    </font>
    <font>
      <sz val="11"/>
      <color theme="1"/>
      <name val="宋体"/>
      <charset val="134"/>
      <scheme val="minor"/>
    </font>
    <font>
      <sz val="9"/>
      <color theme="1"/>
      <name val="宋体"/>
      <charset val="134"/>
    </font>
    <font>
      <sz val="9"/>
      <name val="宋体"/>
      <charset val="134"/>
    </font>
    <font>
      <sz val="9"/>
      <color theme="1"/>
      <name val="微软雅黑"/>
      <charset val="134"/>
    </font>
    <font>
      <sz val="9"/>
      <name val="微软雅黑"/>
      <charset val="134"/>
    </font>
    <font>
      <sz val="11"/>
      <color theme="1"/>
      <name val="微软雅黑"/>
      <charset val="134"/>
    </font>
    <font>
      <b/>
      <sz val="10"/>
      <name val="微软雅黑"/>
      <charset val="134"/>
    </font>
    <font>
      <b/>
      <sz val="10"/>
      <name val="宋体"/>
      <charset val="134"/>
    </font>
    <font>
      <sz val="10"/>
      <color theme="1"/>
      <name val="宋体"/>
      <charset val="134"/>
      <scheme val="minor"/>
    </font>
    <font>
      <b/>
      <sz val="10"/>
      <name val="宋体"/>
      <charset val="134"/>
      <scheme val="minor"/>
    </font>
    <font>
      <b/>
      <sz val="10"/>
      <color indexed="8"/>
      <name val="宋体"/>
      <charset val="134"/>
    </font>
    <font>
      <sz val="10"/>
      <color theme="1"/>
      <name val="宋体"/>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color theme="1"/>
      <name val="宋体"/>
      <charset val="134"/>
      <scheme val="minor"/>
    </font>
    <font>
      <sz val="11"/>
      <color indexed="8"/>
      <name val="宋体"/>
      <charset val="134"/>
    </font>
    <font>
      <sz val="12"/>
      <name val="宋体"/>
      <charset val="134"/>
    </font>
    <font>
      <b/>
      <sz val="10"/>
      <name val="MicrosoftYaHei-Bold"/>
      <charset val="134"/>
    </font>
  </fonts>
  <fills count="39">
    <fill>
      <patternFill patternType="none"/>
    </fill>
    <fill>
      <patternFill patternType="gray125"/>
    </fill>
    <fill>
      <patternFill patternType="solid">
        <fgColor theme="0"/>
        <bgColor indexed="64"/>
      </patternFill>
    </fill>
    <fill>
      <patternFill patternType="solid">
        <fgColor theme="0" tint="-0.349986266670736"/>
        <bgColor indexed="64"/>
      </patternFill>
    </fill>
    <fill>
      <patternFill patternType="solid">
        <fgColor rgb="FF92D050"/>
        <bgColor rgb="FF000000"/>
      </patternFill>
    </fill>
    <fill>
      <patternFill patternType="solid">
        <fgColor rgb="FF92D050"/>
        <bgColor indexed="64"/>
      </patternFill>
    </fill>
    <fill>
      <patternFill patternType="solid">
        <fgColor theme="0" tint="-0.149845881527146"/>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8" borderId="10"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1" applyNumberFormat="0" applyFill="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2" fillId="0" borderId="0" applyNumberFormat="0" applyFill="0" applyBorder="0" applyAlignment="0" applyProtection="0">
      <alignment vertical="center"/>
    </xf>
    <xf numFmtId="0" fontId="23" fillId="9" borderId="13" applyNumberFormat="0" applyAlignment="0" applyProtection="0">
      <alignment vertical="center"/>
    </xf>
    <xf numFmtId="0" fontId="24" fillId="10" borderId="14" applyNumberFormat="0" applyAlignment="0" applyProtection="0">
      <alignment vertical="center"/>
    </xf>
    <xf numFmtId="0" fontId="25" fillId="10" borderId="13" applyNumberFormat="0" applyAlignment="0" applyProtection="0">
      <alignment vertical="center"/>
    </xf>
    <xf numFmtId="0" fontId="26" fillId="11" borderId="15" applyNumberFormat="0" applyAlignment="0" applyProtection="0">
      <alignment vertical="center"/>
    </xf>
    <xf numFmtId="0" fontId="27" fillId="0" borderId="16" applyNumberFormat="0" applyFill="0" applyAlignment="0" applyProtection="0">
      <alignment vertical="center"/>
    </xf>
    <xf numFmtId="0" fontId="28" fillId="0" borderId="17"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xf numFmtId="0" fontId="34" fillId="0" borderId="0"/>
    <xf numFmtId="0" fontId="2" fillId="0" borderId="0"/>
    <xf numFmtId="0" fontId="35" fillId="0" borderId="0">
      <alignment vertical="center"/>
    </xf>
    <xf numFmtId="0" fontId="36" fillId="0" borderId="0">
      <alignment vertical="center"/>
    </xf>
    <xf numFmtId="0" fontId="37" fillId="0" borderId="0">
      <alignment vertical="center"/>
    </xf>
  </cellStyleXfs>
  <cellXfs count="50">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vertical="center" wrapText="1"/>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3" fillId="2" borderId="1"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176" fontId="6" fillId="0" borderId="2" xfId="0" applyNumberFormat="1" applyFont="1" applyBorder="1" applyAlignment="1">
      <alignment horizontal="center" vertical="center" wrapText="1"/>
    </xf>
    <xf numFmtId="176" fontId="6" fillId="0" borderId="1" xfId="0" applyNumberFormat="1" applyFont="1" applyBorder="1" applyAlignment="1">
      <alignment horizontal="center" vertical="center" wrapText="1"/>
    </xf>
    <xf numFmtId="0" fontId="6" fillId="0" borderId="9" xfId="0" applyFont="1" applyBorder="1" applyAlignment="1">
      <alignment horizontal="center" vertical="center" wrapText="1"/>
    </xf>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7" fillId="0" borderId="1" xfId="0" applyFont="1" applyBorder="1" applyAlignment="1">
      <alignment horizontal="center" vertical="center"/>
    </xf>
    <xf numFmtId="0" fontId="5" fillId="0" borderId="0" xfId="0" applyFont="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wrapText="1"/>
    </xf>
    <xf numFmtId="0" fontId="3" fillId="0" borderId="1" xfId="0" applyFont="1" applyBorder="1" applyAlignment="1">
      <alignment vertical="center"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6" fillId="0" borderId="7" xfId="0" applyFont="1" applyBorder="1" applyAlignment="1">
      <alignment horizontal="center" vertical="center" wrapText="1"/>
    </xf>
    <xf numFmtId="0" fontId="3" fillId="2" borderId="7" xfId="0" applyFont="1" applyFill="1" applyBorder="1" applyAlignment="1">
      <alignment horizontal="center" vertical="center" wrapText="1"/>
    </xf>
    <xf numFmtId="0" fontId="8" fillId="4" borderId="1" xfId="53" applyFont="1" applyFill="1" applyBorder="1" applyAlignment="1">
      <alignment horizontal="center" vertical="center"/>
    </xf>
    <xf numFmtId="0" fontId="9" fillId="5" borderId="1" xfId="0" applyFont="1" applyFill="1" applyBorder="1" applyAlignment="1">
      <alignment horizontal="center" vertical="center"/>
    </xf>
    <xf numFmtId="0" fontId="10" fillId="0" borderId="1" xfId="0" applyFont="1" applyBorder="1" applyAlignment="1">
      <alignment horizontal="left" vertical="center" wrapText="1"/>
    </xf>
    <xf numFmtId="0" fontId="11" fillId="5"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13" fillId="6" borderId="1" xfId="0" applyFont="1" applyFill="1" applyBorder="1" applyAlignment="1">
      <alignment horizontal="center" vertical="center" wrapText="1"/>
    </xf>
    <xf numFmtId="176" fontId="13" fillId="6" borderId="1" xfId="0" applyNumberFormat="1" applyFont="1" applyFill="1" applyBorder="1" applyAlignment="1">
      <alignment horizontal="center" vertical="center"/>
    </xf>
    <xf numFmtId="0" fontId="14" fillId="7" borderId="0" xfId="49" applyFont="1" applyFill="1" applyAlignment="1">
      <alignment horizontal="center" vertical="center" wrapText="1"/>
    </xf>
    <xf numFmtId="177" fontId="13" fillId="6" borderId="1" xfId="0" applyNumberFormat="1"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xfId="50"/>
    <cellStyle name="常规 25" xfId="51"/>
    <cellStyle name="常规 4" xfId="52"/>
    <cellStyle name="常规_Fast Funtion Point Estimation Form" xfId="53"/>
  </cellStyles>
  <dxfs count="2">
    <dxf>
      <font>
        <color rgb="FFDE322C"/>
      </font>
      <fill>
        <patternFill patternType="solid">
          <fgColor rgb="FFFFE9E8"/>
          <bgColor rgb="FFFFE9E8"/>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514350</xdr:colOff>
      <xdr:row>2</xdr:row>
      <xdr:rowOff>104775</xdr:rowOff>
    </xdr:from>
    <xdr:to>
      <xdr:col>11</xdr:col>
      <xdr:colOff>295910</xdr:colOff>
      <xdr:row>5</xdr:row>
      <xdr:rowOff>50165</xdr:rowOff>
    </xdr:to>
    <xdr:pic>
      <xdr:nvPicPr>
        <xdr:cNvPr id="3" name="图片 2"/>
        <xdr:cNvPicPr>
          <a:picLocks noChangeAspect="1"/>
        </xdr:cNvPicPr>
      </xdr:nvPicPr>
      <xdr:blipFill>
        <a:blip r:embed="rId1"/>
        <a:stretch>
          <a:fillRect/>
        </a:stretch>
      </xdr:blipFill>
      <xdr:spPr>
        <a:xfrm>
          <a:off x="8663940" y="790575"/>
          <a:ext cx="3553460" cy="306959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D19"/>
  <sheetViews>
    <sheetView workbookViewId="0">
      <selection activeCell="C13" sqref="C13"/>
    </sheetView>
  </sheetViews>
  <sheetFormatPr defaultColWidth="9" defaultRowHeight="14" outlineLevelCol="3"/>
  <cols>
    <col min="2" max="2" width="19" customWidth="1"/>
    <col min="3" max="3" width="21.3363636363636" customWidth="1"/>
    <col min="4" max="4" width="58.3363636363636" customWidth="1"/>
  </cols>
  <sheetData>
    <row r="2" ht="40" customHeight="1" spans="2:4">
      <c r="B2" s="40" t="s">
        <v>0</v>
      </c>
      <c r="C2" s="40"/>
      <c r="D2" s="40"/>
    </row>
    <row r="3" ht="77" customHeight="1" spans="2:4">
      <c r="B3" s="41" t="s">
        <v>1</v>
      </c>
      <c r="C3" s="42" t="s">
        <v>2</v>
      </c>
      <c r="D3" s="42" t="s">
        <v>3</v>
      </c>
    </row>
    <row r="4" ht="88" customHeight="1" spans="2:4">
      <c r="B4" s="43" t="s">
        <v>4</v>
      </c>
      <c r="C4" s="42" t="s">
        <v>5</v>
      </c>
      <c r="D4" s="42" t="s">
        <v>6</v>
      </c>
    </row>
    <row r="5" ht="81" customHeight="1" spans="2:4">
      <c r="B5" s="43" t="s">
        <v>7</v>
      </c>
      <c r="C5" s="42" t="s">
        <v>8</v>
      </c>
      <c r="D5" s="42" t="s">
        <v>9</v>
      </c>
    </row>
    <row r="6" ht="90" customHeight="1" spans="2:4">
      <c r="B6" s="43" t="s">
        <v>10</v>
      </c>
      <c r="C6" s="42" t="s">
        <v>11</v>
      </c>
      <c r="D6" s="42" t="s">
        <v>12</v>
      </c>
    </row>
    <row r="9" spans="2:4">
      <c r="B9" s="44" t="s">
        <v>13</v>
      </c>
      <c r="C9" s="44"/>
      <c r="D9" s="44" t="s">
        <v>14</v>
      </c>
    </row>
    <row r="10" ht="26" spans="2:4">
      <c r="B10" s="45" t="s">
        <v>15</v>
      </c>
      <c r="C10" s="46" t="s">
        <v>16</v>
      </c>
      <c r="D10" s="47">
        <v>1</v>
      </c>
    </row>
    <row r="11" ht="24" customHeight="1" spans="2:4">
      <c r="B11" s="45" t="s">
        <v>17</v>
      </c>
      <c r="C11" s="46" t="s">
        <v>18</v>
      </c>
      <c r="D11" s="47">
        <f>1/3</f>
        <v>0.333333333333333</v>
      </c>
    </row>
    <row r="12" ht="26" spans="2:4">
      <c r="B12" s="45" t="s">
        <v>19</v>
      </c>
      <c r="C12" s="46" t="s">
        <v>20</v>
      </c>
      <c r="D12" s="47">
        <v>0</v>
      </c>
    </row>
    <row r="13" ht="14.5" spans="2:4">
      <c r="B13" s="48"/>
      <c r="C13" s="48"/>
      <c r="D13" s="48"/>
    </row>
    <row r="14" ht="14.5" spans="2:4">
      <c r="B14" s="48"/>
      <c r="C14" s="48"/>
      <c r="D14" s="48"/>
    </row>
    <row r="15" spans="2:4">
      <c r="B15" s="44" t="s">
        <v>21</v>
      </c>
      <c r="C15" s="44"/>
      <c r="D15" s="44" t="s">
        <v>14</v>
      </c>
    </row>
    <row r="16" spans="2:4">
      <c r="B16" s="45" t="s">
        <v>22</v>
      </c>
      <c r="C16" s="45" t="s">
        <v>23</v>
      </c>
      <c r="D16" s="49">
        <v>1</v>
      </c>
    </row>
    <row r="17" spans="2:4">
      <c r="B17" s="45" t="s">
        <v>24</v>
      </c>
      <c r="C17" s="45" t="s">
        <v>25</v>
      </c>
      <c r="D17" s="49">
        <v>1</v>
      </c>
    </row>
    <row r="18" spans="2:4">
      <c r="B18" s="45" t="s">
        <v>26</v>
      </c>
      <c r="C18" s="45" t="s">
        <v>27</v>
      </c>
      <c r="D18" s="49">
        <v>1</v>
      </c>
    </row>
    <row r="19" spans="2:4">
      <c r="B19" s="45" t="s">
        <v>28</v>
      </c>
      <c r="C19" s="45" t="s">
        <v>29</v>
      </c>
      <c r="D19" s="49">
        <v>1</v>
      </c>
    </row>
  </sheetData>
  <mergeCells count="3">
    <mergeCell ref="B2:D2"/>
    <mergeCell ref="B9:C9"/>
    <mergeCell ref="B15:C15"/>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49"/>
  <sheetViews>
    <sheetView topLeftCell="B1" workbookViewId="0">
      <pane ySplit="4" topLeftCell="A413" activePane="bottomLeft" state="frozen"/>
      <selection/>
      <selection pane="bottomLeft" activeCell="M450" sqref="M450:M549"/>
    </sheetView>
  </sheetViews>
  <sheetFormatPr defaultColWidth="14" defaultRowHeight="13"/>
  <cols>
    <col min="1" max="1" width="12.5" style="4" customWidth="1"/>
    <col min="2" max="2" width="16.5" style="4" customWidth="1"/>
    <col min="3" max="3" width="18.1636363636364" style="4" customWidth="1"/>
    <col min="4" max="4" width="16.5" style="4" customWidth="1"/>
    <col min="5" max="5" width="33.3363636363636" style="4" customWidth="1"/>
    <col min="6" max="6" width="26.8363636363636" style="5" customWidth="1"/>
    <col min="7" max="7" width="19.1636363636364" style="5" customWidth="1"/>
    <col min="8" max="8" width="27.3363636363636" style="5" customWidth="1"/>
    <col min="9" max="9" width="11.1636363636364" style="5" customWidth="1"/>
    <col min="10" max="10" width="15.1636363636364" style="4" customWidth="1"/>
    <col min="11" max="11" width="32.1636363636364" style="6" customWidth="1"/>
    <col min="12" max="12" width="14.3363636363636" style="7" customWidth="1"/>
    <col min="13" max="13" width="14.1636363636364" style="5" customWidth="1"/>
    <col min="14" max="14" width="31.6636363636364" style="8" customWidth="1"/>
    <col min="15" max="16384" width="14" style="4"/>
  </cols>
  <sheetData>
    <row r="1" ht="14" customHeight="1" spans="1:14">
      <c r="A1" s="9" t="s">
        <v>30</v>
      </c>
      <c r="B1" s="10"/>
      <c r="C1" s="10"/>
      <c r="D1" s="10"/>
      <c r="E1" s="10"/>
      <c r="F1" s="10"/>
      <c r="G1" s="10"/>
      <c r="H1" s="10"/>
      <c r="I1" s="10"/>
      <c r="J1" s="10"/>
      <c r="K1" s="10"/>
      <c r="L1" s="10"/>
      <c r="M1" s="10"/>
      <c r="N1" s="11"/>
    </row>
    <row r="2" ht="14" customHeight="1" spans="1:14">
      <c r="A2" s="12" t="s">
        <v>31</v>
      </c>
      <c r="B2" s="13"/>
      <c r="C2" s="13"/>
      <c r="D2" s="13"/>
      <c r="E2" s="14"/>
      <c r="F2" s="12" t="s">
        <v>32</v>
      </c>
      <c r="G2" s="13"/>
      <c r="H2" s="13"/>
      <c r="I2" s="13"/>
      <c r="J2" s="13"/>
      <c r="K2" s="14"/>
      <c r="L2" s="12" t="s">
        <v>33</v>
      </c>
      <c r="M2" s="13"/>
      <c r="N2" s="14"/>
    </row>
    <row r="3" ht="14" customHeight="1" spans="1:14">
      <c r="A3" s="15" t="s">
        <v>34</v>
      </c>
      <c r="B3" s="12" t="s">
        <v>35</v>
      </c>
      <c r="C3" s="13"/>
      <c r="D3" s="14"/>
      <c r="E3" s="15" t="s">
        <v>36</v>
      </c>
      <c r="F3" s="15" t="s">
        <v>37</v>
      </c>
      <c r="G3" s="15" t="s">
        <v>38</v>
      </c>
      <c r="H3" s="15" t="s">
        <v>39</v>
      </c>
      <c r="I3" s="15" t="s">
        <v>40</v>
      </c>
      <c r="J3" s="15" t="s">
        <v>41</v>
      </c>
      <c r="K3" s="15" t="s">
        <v>42</v>
      </c>
      <c r="L3" s="15" t="s">
        <v>43</v>
      </c>
      <c r="M3" s="16" t="s">
        <v>44</v>
      </c>
      <c r="N3" s="17" t="s">
        <v>45</v>
      </c>
    </row>
    <row r="4" spans="1:14">
      <c r="A4" s="18"/>
      <c r="B4" s="17" t="s">
        <v>46</v>
      </c>
      <c r="C4" s="17" t="s">
        <v>47</v>
      </c>
      <c r="D4" s="17" t="s">
        <v>48</v>
      </c>
      <c r="E4" s="18"/>
      <c r="F4" s="18"/>
      <c r="G4" s="18"/>
      <c r="H4" s="18"/>
      <c r="I4" s="18"/>
      <c r="J4" s="18"/>
      <c r="K4" s="18"/>
      <c r="L4" s="18"/>
      <c r="M4" s="19"/>
      <c r="N4" s="17"/>
    </row>
    <row r="5" s="3" customFormat="1" ht="39" spans="1:14">
      <c r="A5" s="20" t="s">
        <v>49</v>
      </c>
      <c r="B5" s="21" t="s">
        <v>50</v>
      </c>
      <c r="C5" s="22" t="s">
        <v>51</v>
      </c>
      <c r="D5" s="22" t="s">
        <v>52</v>
      </c>
      <c r="E5" s="23" t="s">
        <v>53</v>
      </c>
      <c r="F5" s="24" t="s">
        <v>54</v>
      </c>
      <c r="G5" s="24" t="s">
        <v>55</v>
      </c>
      <c r="H5" s="24" t="s">
        <v>56</v>
      </c>
      <c r="I5" s="24" t="s">
        <v>22</v>
      </c>
      <c r="J5" s="23" t="s">
        <v>57</v>
      </c>
      <c r="K5" s="23" t="s">
        <v>58</v>
      </c>
      <c r="L5" s="24" t="s">
        <v>15</v>
      </c>
      <c r="M5" s="25">
        <f t="shared" ref="M5:M66" si="0">IF(L5="新增",1,IF(L5="复用",1/3,0))</f>
        <v>1</v>
      </c>
      <c r="N5" s="26">
        <f>SUM(M:M)</f>
        <v>504.973333333333</v>
      </c>
    </row>
    <row r="6" s="3" customFormat="1" ht="52" spans="1:14">
      <c r="A6" s="27"/>
      <c r="B6" s="21"/>
      <c r="C6" s="28"/>
      <c r="D6" s="28"/>
      <c r="E6" s="23" t="s">
        <v>53</v>
      </c>
      <c r="F6" s="24" t="s">
        <v>54</v>
      </c>
      <c r="G6" s="24" t="s">
        <v>59</v>
      </c>
      <c r="H6" s="24" t="s">
        <v>60</v>
      </c>
      <c r="I6" s="24" t="s">
        <v>26</v>
      </c>
      <c r="J6" s="23" t="s">
        <v>61</v>
      </c>
      <c r="K6" s="23" t="s">
        <v>62</v>
      </c>
      <c r="L6" s="24" t="s">
        <v>15</v>
      </c>
      <c r="M6" s="25">
        <f t="shared" si="0"/>
        <v>1</v>
      </c>
      <c r="N6" s="21"/>
    </row>
    <row r="7" s="3" customFormat="1" ht="39" spans="1:14">
      <c r="A7" s="27"/>
      <c r="B7" s="21"/>
      <c r="C7" s="28"/>
      <c r="D7" s="28"/>
      <c r="E7" s="23" t="s">
        <v>53</v>
      </c>
      <c r="F7" s="24" t="s">
        <v>54</v>
      </c>
      <c r="G7" s="24" t="s">
        <v>63</v>
      </c>
      <c r="H7" s="24" t="s">
        <v>64</v>
      </c>
      <c r="I7" s="24" t="s">
        <v>28</v>
      </c>
      <c r="J7" s="23" t="s">
        <v>65</v>
      </c>
      <c r="K7" s="23" t="s">
        <v>66</v>
      </c>
      <c r="L7" s="24" t="s">
        <v>15</v>
      </c>
      <c r="M7" s="25">
        <f t="shared" si="0"/>
        <v>1</v>
      </c>
      <c r="N7" s="21"/>
    </row>
    <row r="8" s="3" customFormat="1" ht="39" spans="1:14">
      <c r="A8" s="27"/>
      <c r="B8" s="21"/>
      <c r="C8" s="29"/>
      <c r="D8" s="29"/>
      <c r="E8" s="23" t="s">
        <v>53</v>
      </c>
      <c r="F8" s="24" t="s">
        <v>54</v>
      </c>
      <c r="G8" s="24" t="s">
        <v>67</v>
      </c>
      <c r="H8" s="24" t="s">
        <v>68</v>
      </c>
      <c r="I8" s="24" t="s">
        <v>24</v>
      </c>
      <c r="J8" s="23" t="s">
        <v>69</v>
      </c>
      <c r="K8" s="23" t="s">
        <v>70</v>
      </c>
      <c r="L8" s="24" t="s">
        <v>15</v>
      </c>
      <c r="M8" s="25">
        <f t="shared" si="0"/>
        <v>1</v>
      </c>
      <c r="N8" s="21"/>
    </row>
    <row r="9" s="3" customFormat="1" ht="39" spans="1:14">
      <c r="A9" s="27"/>
      <c r="B9" s="21"/>
      <c r="C9" s="22" t="s">
        <v>71</v>
      </c>
      <c r="D9" s="22" t="s">
        <v>72</v>
      </c>
      <c r="E9" s="23" t="s">
        <v>53</v>
      </c>
      <c r="F9" s="24" t="s">
        <v>73</v>
      </c>
      <c r="G9" s="24" t="s">
        <v>74</v>
      </c>
      <c r="H9" s="24" t="s">
        <v>75</v>
      </c>
      <c r="I9" s="24" t="s">
        <v>22</v>
      </c>
      <c r="J9" s="23" t="s">
        <v>76</v>
      </c>
      <c r="K9" s="23" t="s">
        <v>77</v>
      </c>
      <c r="L9" s="24" t="s">
        <v>15</v>
      </c>
      <c r="M9" s="25">
        <f t="shared" si="0"/>
        <v>1</v>
      </c>
      <c r="N9" s="21"/>
    </row>
    <row r="10" s="3" customFormat="1" ht="52" spans="1:14">
      <c r="A10" s="27"/>
      <c r="B10" s="21"/>
      <c r="C10" s="28"/>
      <c r="D10" s="28"/>
      <c r="E10" s="23" t="s">
        <v>53</v>
      </c>
      <c r="F10" s="24" t="s">
        <v>73</v>
      </c>
      <c r="G10" s="24" t="s">
        <v>78</v>
      </c>
      <c r="H10" s="24" t="s">
        <v>79</v>
      </c>
      <c r="I10" s="24" t="s">
        <v>26</v>
      </c>
      <c r="J10" s="23" t="s">
        <v>80</v>
      </c>
      <c r="K10" s="23" t="s">
        <v>81</v>
      </c>
      <c r="L10" s="24" t="s">
        <v>15</v>
      </c>
      <c r="M10" s="25">
        <f t="shared" si="0"/>
        <v>1</v>
      </c>
      <c r="N10" s="21"/>
    </row>
    <row r="11" s="3" customFormat="1" ht="52" spans="1:14">
      <c r="A11" s="27"/>
      <c r="B11" s="21"/>
      <c r="C11" s="28"/>
      <c r="D11" s="28"/>
      <c r="E11" s="23" t="s">
        <v>53</v>
      </c>
      <c r="F11" s="24" t="s">
        <v>73</v>
      </c>
      <c r="G11" s="24" t="s">
        <v>82</v>
      </c>
      <c r="H11" s="24" t="s">
        <v>83</v>
      </c>
      <c r="I11" s="24" t="s">
        <v>28</v>
      </c>
      <c r="J11" s="23" t="s">
        <v>84</v>
      </c>
      <c r="K11" s="23" t="s">
        <v>85</v>
      </c>
      <c r="L11" s="24" t="s">
        <v>15</v>
      </c>
      <c r="M11" s="25">
        <f t="shared" si="0"/>
        <v>1</v>
      </c>
      <c r="N11" s="21"/>
    </row>
    <row r="12" s="3" customFormat="1" ht="39" spans="1:14">
      <c r="A12" s="27"/>
      <c r="B12" s="21"/>
      <c r="C12" s="29"/>
      <c r="D12" s="29"/>
      <c r="E12" s="23" t="s">
        <v>53</v>
      </c>
      <c r="F12" s="24" t="s">
        <v>73</v>
      </c>
      <c r="G12" s="24" t="s">
        <v>86</v>
      </c>
      <c r="H12" s="24" t="s">
        <v>87</v>
      </c>
      <c r="I12" s="24" t="s">
        <v>24</v>
      </c>
      <c r="J12" s="23" t="s">
        <v>88</v>
      </c>
      <c r="K12" s="23" t="s">
        <v>89</v>
      </c>
      <c r="L12" s="24" t="s">
        <v>15</v>
      </c>
      <c r="M12" s="25">
        <f t="shared" si="0"/>
        <v>1</v>
      </c>
      <c r="N12" s="21"/>
    </row>
    <row r="13" s="3" customFormat="1" ht="52" spans="1:14">
      <c r="A13" s="27"/>
      <c r="B13" s="21"/>
      <c r="C13" s="22" t="s">
        <v>90</v>
      </c>
      <c r="D13" s="22" t="s">
        <v>91</v>
      </c>
      <c r="E13" s="23" t="s">
        <v>53</v>
      </c>
      <c r="F13" s="24" t="s">
        <v>92</v>
      </c>
      <c r="G13" s="24" t="s">
        <v>93</v>
      </c>
      <c r="H13" s="24" t="s">
        <v>94</v>
      </c>
      <c r="I13" s="24" t="s">
        <v>22</v>
      </c>
      <c r="J13" s="23" t="s">
        <v>95</v>
      </c>
      <c r="K13" s="23" t="s">
        <v>96</v>
      </c>
      <c r="L13" s="24" t="s">
        <v>15</v>
      </c>
      <c r="M13" s="25">
        <f t="shared" si="0"/>
        <v>1</v>
      </c>
      <c r="N13" s="21"/>
    </row>
    <row r="14" s="3" customFormat="1" ht="52" spans="1:14">
      <c r="A14" s="27"/>
      <c r="B14" s="21"/>
      <c r="C14" s="28"/>
      <c r="D14" s="28"/>
      <c r="E14" s="23" t="s">
        <v>53</v>
      </c>
      <c r="F14" s="24" t="s">
        <v>92</v>
      </c>
      <c r="G14" s="24" t="s">
        <v>97</v>
      </c>
      <c r="H14" s="24" t="s">
        <v>98</v>
      </c>
      <c r="I14" s="24" t="s">
        <v>26</v>
      </c>
      <c r="J14" s="23" t="s">
        <v>99</v>
      </c>
      <c r="K14" s="23" t="s">
        <v>100</v>
      </c>
      <c r="L14" s="24" t="s">
        <v>15</v>
      </c>
      <c r="M14" s="25">
        <f t="shared" si="0"/>
        <v>1</v>
      </c>
      <c r="N14" s="21"/>
    </row>
    <row r="15" s="3" customFormat="1" ht="52" spans="1:14">
      <c r="A15" s="27"/>
      <c r="B15" s="21"/>
      <c r="C15" s="28"/>
      <c r="D15" s="28"/>
      <c r="E15" s="23" t="s">
        <v>53</v>
      </c>
      <c r="F15" s="24" t="s">
        <v>92</v>
      </c>
      <c r="G15" s="24" t="s">
        <v>101</v>
      </c>
      <c r="H15" s="24" t="s">
        <v>102</v>
      </c>
      <c r="I15" s="24" t="s">
        <v>28</v>
      </c>
      <c r="J15" s="23" t="s">
        <v>103</v>
      </c>
      <c r="K15" s="23" t="s">
        <v>104</v>
      </c>
      <c r="L15" s="24" t="s">
        <v>15</v>
      </c>
      <c r="M15" s="25">
        <f t="shared" si="0"/>
        <v>1</v>
      </c>
      <c r="N15" s="21"/>
    </row>
    <row r="16" s="3" customFormat="1" ht="39" spans="1:14">
      <c r="A16" s="27"/>
      <c r="B16" s="21"/>
      <c r="C16" s="29"/>
      <c r="D16" s="29"/>
      <c r="E16" s="23" t="s">
        <v>53</v>
      </c>
      <c r="F16" s="24" t="s">
        <v>92</v>
      </c>
      <c r="G16" s="24" t="s">
        <v>105</v>
      </c>
      <c r="H16" s="24" t="s">
        <v>106</v>
      </c>
      <c r="I16" s="24" t="s">
        <v>24</v>
      </c>
      <c r="J16" s="23" t="s">
        <v>107</v>
      </c>
      <c r="K16" s="23" t="s">
        <v>108</v>
      </c>
      <c r="L16" s="24" t="s">
        <v>15</v>
      </c>
      <c r="M16" s="25">
        <f t="shared" si="0"/>
        <v>1</v>
      </c>
      <c r="N16" s="21"/>
    </row>
    <row r="17" s="3" customFormat="1" ht="39" spans="1:14">
      <c r="A17" s="27"/>
      <c r="B17" s="21"/>
      <c r="C17" s="22" t="s">
        <v>109</v>
      </c>
      <c r="D17" s="22" t="s">
        <v>110</v>
      </c>
      <c r="E17" s="23" t="s">
        <v>53</v>
      </c>
      <c r="F17" s="24" t="s">
        <v>111</v>
      </c>
      <c r="G17" s="24" t="s">
        <v>112</v>
      </c>
      <c r="H17" s="24" t="s">
        <v>113</v>
      </c>
      <c r="I17" s="24" t="s">
        <v>22</v>
      </c>
      <c r="J17" s="23" t="s">
        <v>114</v>
      </c>
      <c r="K17" s="23" t="s">
        <v>115</v>
      </c>
      <c r="L17" s="24" t="s">
        <v>15</v>
      </c>
      <c r="M17" s="25">
        <f t="shared" si="0"/>
        <v>1</v>
      </c>
      <c r="N17" s="21"/>
    </row>
    <row r="18" s="3" customFormat="1" ht="52" spans="1:14">
      <c r="A18" s="27"/>
      <c r="B18" s="21"/>
      <c r="C18" s="28"/>
      <c r="D18" s="28"/>
      <c r="E18" s="23" t="s">
        <v>53</v>
      </c>
      <c r="F18" s="24" t="s">
        <v>111</v>
      </c>
      <c r="G18" s="24" t="s">
        <v>116</v>
      </c>
      <c r="H18" s="24" t="s">
        <v>117</v>
      </c>
      <c r="I18" s="24" t="s">
        <v>26</v>
      </c>
      <c r="J18" s="23" t="s">
        <v>118</v>
      </c>
      <c r="K18" s="23" t="s">
        <v>119</v>
      </c>
      <c r="L18" s="24" t="s">
        <v>15</v>
      </c>
      <c r="M18" s="25">
        <f t="shared" si="0"/>
        <v>1</v>
      </c>
      <c r="N18" s="21"/>
    </row>
    <row r="19" s="3" customFormat="1" ht="52" spans="1:14">
      <c r="A19" s="27"/>
      <c r="B19" s="21"/>
      <c r="C19" s="28"/>
      <c r="D19" s="28"/>
      <c r="E19" s="23" t="s">
        <v>53</v>
      </c>
      <c r="F19" s="24" t="s">
        <v>111</v>
      </c>
      <c r="G19" s="24" t="s">
        <v>120</v>
      </c>
      <c r="H19" s="24" t="s">
        <v>121</v>
      </c>
      <c r="I19" s="24" t="s">
        <v>28</v>
      </c>
      <c r="J19" s="23" t="s">
        <v>122</v>
      </c>
      <c r="K19" s="23" t="s">
        <v>123</v>
      </c>
      <c r="L19" s="24" t="s">
        <v>15</v>
      </c>
      <c r="M19" s="25">
        <f t="shared" si="0"/>
        <v>1</v>
      </c>
      <c r="N19" s="21"/>
    </row>
    <row r="20" s="3" customFormat="1" ht="39" spans="1:14">
      <c r="A20" s="27"/>
      <c r="B20" s="21"/>
      <c r="C20" s="29"/>
      <c r="D20" s="29"/>
      <c r="E20" s="23" t="s">
        <v>53</v>
      </c>
      <c r="F20" s="24" t="s">
        <v>111</v>
      </c>
      <c r="G20" s="24" t="s">
        <v>124</v>
      </c>
      <c r="H20" s="24" t="s">
        <v>125</v>
      </c>
      <c r="I20" s="24" t="s">
        <v>24</v>
      </c>
      <c r="J20" s="23" t="s">
        <v>126</v>
      </c>
      <c r="K20" s="23" t="s">
        <v>127</v>
      </c>
      <c r="L20" s="24" t="s">
        <v>15</v>
      </c>
      <c r="M20" s="25">
        <f t="shared" si="0"/>
        <v>1</v>
      </c>
      <c r="N20" s="21"/>
    </row>
    <row r="21" s="3" customFormat="1" ht="52" spans="1:14">
      <c r="A21" s="27"/>
      <c r="B21" s="21"/>
      <c r="C21" s="22" t="s">
        <v>128</v>
      </c>
      <c r="D21" s="22" t="s">
        <v>129</v>
      </c>
      <c r="E21" s="23" t="s">
        <v>53</v>
      </c>
      <c r="F21" s="24" t="s">
        <v>130</v>
      </c>
      <c r="G21" s="24" t="s">
        <v>131</v>
      </c>
      <c r="H21" s="24" t="s">
        <v>132</v>
      </c>
      <c r="I21" s="24" t="s">
        <v>22</v>
      </c>
      <c r="J21" s="23" t="s">
        <v>133</v>
      </c>
      <c r="K21" s="23" t="s">
        <v>134</v>
      </c>
      <c r="L21" s="24" t="s">
        <v>15</v>
      </c>
      <c r="M21" s="25">
        <f t="shared" si="0"/>
        <v>1</v>
      </c>
      <c r="N21" s="21"/>
    </row>
    <row r="22" s="3" customFormat="1" ht="52" spans="1:14">
      <c r="A22" s="27"/>
      <c r="B22" s="21"/>
      <c r="C22" s="28"/>
      <c r="D22" s="28"/>
      <c r="E22" s="23" t="s">
        <v>53</v>
      </c>
      <c r="F22" s="24" t="s">
        <v>130</v>
      </c>
      <c r="G22" s="24" t="s">
        <v>135</v>
      </c>
      <c r="H22" s="24" t="s">
        <v>136</v>
      </c>
      <c r="I22" s="24" t="s">
        <v>26</v>
      </c>
      <c r="J22" s="23" t="s">
        <v>137</v>
      </c>
      <c r="K22" s="23" t="s">
        <v>138</v>
      </c>
      <c r="L22" s="24" t="s">
        <v>15</v>
      </c>
      <c r="M22" s="25">
        <f t="shared" si="0"/>
        <v>1</v>
      </c>
      <c r="N22" s="21"/>
    </row>
    <row r="23" s="3" customFormat="1" ht="52" spans="1:14">
      <c r="A23" s="27"/>
      <c r="B23" s="21"/>
      <c r="C23" s="28"/>
      <c r="D23" s="28"/>
      <c r="E23" s="23" t="s">
        <v>53</v>
      </c>
      <c r="F23" s="24" t="s">
        <v>130</v>
      </c>
      <c r="G23" s="24" t="s">
        <v>139</v>
      </c>
      <c r="H23" s="24" t="s">
        <v>140</v>
      </c>
      <c r="I23" s="24" t="s">
        <v>28</v>
      </c>
      <c r="J23" s="23" t="s">
        <v>141</v>
      </c>
      <c r="K23" s="23" t="s">
        <v>142</v>
      </c>
      <c r="L23" s="24" t="s">
        <v>15</v>
      </c>
      <c r="M23" s="25">
        <f t="shared" si="0"/>
        <v>1</v>
      </c>
      <c r="N23" s="21"/>
    </row>
    <row r="24" s="3" customFormat="1" ht="39" spans="1:14">
      <c r="A24" s="27"/>
      <c r="B24" s="21"/>
      <c r="C24" s="29"/>
      <c r="D24" s="29"/>
      <c r="E24" s="23" t="s">
        <v>53</v>
      </c>
      <c r="F24" s="24" t="s">
        <v>130</v>
      </c>
      <c r="G24" s="24" t="s">
        <v>143</v>
      </c>
      <c r="H24" s="24" t="s">
        <v>144</v>
      </c>
      <c r="I24" s="24" t="s">
        <v>24</v>
      </c>
      <c r="J24" s="23" t="s">
        <v>145</v>
      </c>
      <c r="K24" s="23" t="s">
        <v>146</v>
      </c>
      <c r="L24" s="24" t="s">
        <v>15</v>
      </c>
      <c r="M24" s="25">
        <f t="shared" si="0"/>
        <v>1</v>
      </c>
      <c r="N24" s="21"/>
    </row>
    <row r="25" s="3" customFormat="1" ht="39" spans="1:14">
      <c r="A25" s="27"/>
      <c r="B25" s="21"/>
      <c r="C25" s="22" t="s">
        <v>147</v>
      </c>
      <c r="D25" s="22" t="s">
        <v>148</v>
      </c>
      <c r="E25" s="23" t="s">
        <v>53</v>
      </c>
      <c r="F25" s="24" t="s">
        <v>149</v>
      </c>
      <c r="G25" s="24" t="s">
        <v>150</v>
      </c>
      <c r="H25" s="24" t="s">
        <v>151</v>
      </c>
      <c r="I25" s="24" t="s">
        <v>22</v>
      </c>
      <c r="J25" s="23" t="s">
        <v>152</v>
      </c>
      <c r="K25" s="23" t="s">
        <v>153</v>
      </c>
      <c r="L25" s="24" t="s">
        <v>15</v>
      </c>
      <c r="M25" s="25">
        <f t="shared" si="0"/>
        <v>1</v>
      </c>
      <c r="N25" s="21"/>
    </row>
    <row r="26" s="3" customFormat="1" ht="39" spans="1:14">
      <c r="A26" s="27"/>
      <c r="B26" s="21"/>
      <c r="C26" s="29"/>
      <c r="D26" s="29"/>
      <c r="E26" s="23" t="s">
        <v>53</v>
      </c>
      <c r="F26" s="24" t="s">
        <v>149</v>
      </c>
      <c r="G26" s="24" t="s">
        <v>154</v>
      </c>
      <c r="H26" s="24" t="s">
        <v>155</v>
      </c>
      <c r="I26" s="24" t="s">
        <v>24</v>
      </c>
      <c r="J26" s="23" t="s">
        <v>156</v>
      </c>
      <c r="K26" s="23" t="s">
        <v>157</v>
      </c>
      <c r="L26" s="24" t="s">
        <v>15</v>
      </c>
      <c r="M26" s="25">
        <f t="shared" si="0"/>
        <v>1</v>
      </c>
      <c r="N26" s="21"/>
    </row>
    <row r="27" s="3" customFormat="1" ht="39" spans="1:14">
      <c r="A27" s="27"/>
      <c r="B27" s="21"/>
      <c r="C27" s="22" t="s">
        <v>158</v>
      </c>
      <c r="D27" s="22" t="s">
        <v>159</v>
      </c>
      <c r="E27" s="23" t="s">
        <v>53</v>
      </c>
      <c r="F27" s="24" t="s">
        <v>160</v>
      </c>
      <c r="G27" s="24" t="s">
        <v>161</v>
      </c>
      <c r="H27" s="24" t="s">
        <v>162</v>
      </c>
      <c r="I27" s="24" t="s">
        <v>22</v>
      </c>
      <c r="J27" s="23" t="s">
        <v>163</v>
      </c>
      <c r="K27" s="23" t="s">
        <v>164</v>
      </c>
      <c r="L27" s="24" t="s">
        <v>15</v>
      </c>
      <c r="M27" s="25">
        <f t="shared" si="0"/>
        <v>1</v>
      </c>
      <c r="N27" s="21"/>
    </row>
    <row r="28" s="3" customFormat="1" ht="52" spans="1:14">
      <c r="A28" s="27"/>
      <c r="B28" s="21"/>
      <c r="C28" s="28"/>
      <c r="D28" s="28"/>
      <c r="E28" s="23" t="s">
        <v>53</v>
      </c>
      <c r="F28" s="24" t="s">
        <v>160</v>
      </c>
      <c r="G28" s="24" t="s">
        <v>165</v>
      </c>
      <c r="H28" s="24" t="s">
        <v>166</v>
      </c>
      <c r="I28" s="24" t="s">
        <v>26</v>
      </c>
      <c r="J28" s="23" t="s">
        <v>167</v>
      </c>
      <c r="K28" s="23" t="s">
        <v>168</v>
      </c>
      <c r="L28" s="24" t="s">
        <v>15</v>
      </c>
      <c r="M28" s="25">
        <f t="shared" si="0"/>
        <v>1</v>
      </c>
      <c r="N28" s="21"/>
    </row>
    <row r="29" s="3" customFormat="1" ht="52" spans="1:14">
      <c r="A29" s="27"/>
      <c r="B29" s="21"/>
      <c r="C29" s="28"/>
      <c r="D29" s="28"/>
      <c r="E29" s="23" t="s">
        <v>53</v>
      </c>
      <c r="F29" s="24" t="s">
        <v>160</v>
      </c>
      <c r="G29" s="24" t="s">
        <v>169</v>
      </c>
      <c r="H29" s="24" t="s">
        <v>170</v>
      </c>
      <c r="I29" s="24" t="s">
        <v>28</v>
      </c>
      <c r="J29" s="23" t="s">
        <v>171</v>
      </c>
      <c r="K29" s="23" t="s">
        <v>172</v>
      </c>
      <c r="L29" s="24" t="s">
        <v>15</v>
      </c>
      <c r="M29" s="25">
        <f t="shared" si="0"/>
        <v>1</v>
      </c>
      <c r="N29" s="21"/>
    </row>
    <row r="30" s="3" customFormat="1" ht="52" spans="1:14">
      <c r="A30" s="27"/>
      <c r="B30" s="21"/>
      <c r="C30" s="29"/>
      <c r="D30" s="29"/>
      <c r="E30" s="23" t="s">
        <v>53</v>
      </c>
      <c r="F30" s="24" t="s">
        <v>160</v>
      </c>
      <c r="G30" s="24" t="s">
        <v>173</v>
      </c>
      <c r="H30" s="24" t="s">
        <v>174</v>
      </c>
      <c r="I30" s="24" t="s">
        <v>24</v>
      </c>
      <c r="J30" s="23" t="s">
        <v>175</v>
      </c>
      <c r="K30" s="23" t="s">
        <v>176</v>
      </c>
      <c r="L30" s="24" t="s">
        <v>15</v>
      </c>
      <c r="M30" s="25">
        <f t="shared" si="0"/>
        <v>1</v>
      </c>
      <c r="N30" s="21"/>
    </row>
    <row r="31" s="3" customFormat="1" ht="39" spans="1:14">
      <c r="A31" s="27"/>
      <c r="B31" s="21"/>
      <c r="C31" s="22" t="s">
        <v>177</v>
      </c>
      <c r="D31" s="22" t="s">
        <v>178</v>
      </c>
      <c r="E31" s="23" t="s">
        <v>53</v>
      </c>
      <c r="F31" s="24" t="s">
        <v>160</v>
      </c>
      <c r="G31" s="24" t="s">
        <v>179</v>
      </c>
      <c r="H31" s="24" t="s">
        <v>180</v>
      </c>
      <c r="I31" s="24" t="s">
        <v>22</v>
      </c>
      <c r="J31" s="23" t="s">
        <v>181</v>
      </c>
      <c r="K31" s="23" t="s">
        <v>182</v>
      </c>
      <c r="L31" s="24" t="s">
        <v>15</v>
      </c>
      <c r="M31" s="25">
        <f t="shared" si="0"/>
        <v>1</v>
      </c>
      <c r="N31" s="21"/>
    </row>
    <row r="32" s="3" customFormat="1" ht="52" spans="1:14">
      <c r="A32" s="27"/>
      <c r="B32" s="21"/>
      <c r="C32" s="28"/>
      <c r="D32" s="28"/>
      <c r="E32" s="23" t="s">
        <v>53</v>
      </c>
      <c r="F32" s="24" t="s">
        <v>160</v>
      </c>
      <c r="G32" s="24" t="s">
        <v>183</v>
      </c>
      <c r="H32" s="24" t="s">
        <v>184</v>
      </c>
      <c r="I32" s="24" t="s">
        <v>26</v>
      </c>
      <c r="J32" s="23" t="s">
        <v>185</v>
      </c>
      <c r="K32" s="23" t="s">
        <v>186</v>
      </c>
      <c r="L32" s="24" t="s">
        <v>15</v>
      </c>
      <c r="M32" s="25">
        <f t="shared" si="0"/>
        <v>1</v>
      </c>
      <c r="N32" s="21"/>
    </row>
    <row r="33" s="3" customFormat="1" ht="52" spans="1:14">
      <c r="A33" s="27"/>
      <c r="B33" s="21"/>
      <c r="C33" s="28"/>
      <c r="D33" s="28"/>
      <c r="E33" s="23" t="s">
        <v>53</v>
      </c>
      <c r="F33" s="24" t="s">
        <v>160</v>
      </c>
      <c r="G33" s="24" t="s">
        <v>187</v>
      </c>
      <c r="H33" s="24" t="s">
        <v>188</v>
      </c>
      <c r="I33" s="24" t="s">
        <v>28</v>
      </c>
      <c r="J33" s="23" t="s">
        <v>189</v>
      </c>
      <c r="K33" s="23" t="s">
        <v>190</v>
      </c>
      <c r="L33" s="24" t="s">
        <v>15</v>
      </c>
      <c r="M33" s="25">
        <f t="shared" si="0"/>
        <v>1</v>
      </c>
      <c r="N33" s="21"/>
    </row>
    <row r="34" s="3" customFormat="1" ht="52" spans="1:14">
      <c r="A34" s="27"/>
      <c r="B34" s="21"/>
      <c r="C34" s="29"/>
      <c r="D34" s="29"/>
      <c r="E34" s="23" t="s">
        <v>53</v>
      </c>
      <c r="F34" s="24" t="s">
        <v>160</v>
      </c>
      <c r="G34" s="24" t="s">
        <v>191</v>
      </c>
      <c r="H34" s="24" t="s">
        <v>192</v>
      </c>
      <c r="I34" s="24" t="s">
        <v>24</v>
      </c>
      <c r="J34" s="23" t="s">
        <v>193</v>
      </c>
      <c r="K34" s="23" t="s">
        <v>194</v>
      </c>
      <c r="L34" s="24" t="s">
        <v>15</v>
      </c>
      <c r="M34" s="25">
        <f t="shared" si="0"/>
        <v>1</v>
      </c>
      <c r="N34" s="21"/>
    </row>
    <row r="35" s="3" customFormat="1" ht="39" spans="1:14">
      <c r="A35" s="27"/>
      <c r="B35" s="21"/>
      <c r="C35" s="22" t="s">
        <v>195</v>
      </c>
      <c r="D35" s="22" t="s">
        <v>196</v>
      </c>
      <c r="E35" s="23" t="s">
        <v>53</v>
      </c>
      <c r="F35" s="24" t="s">
        <v>197</v>
      </c>
      <c r="G35" s="24" t="s">
        <v>198</v>
      </c>
      <c r="H35" s="24" t="s">
        <v>199</v>
      </c>
      <c r="I35" s="24" t="s">
        <v>22</v>
      </c>
      <c r="J35" s="23" t="s">
        <v>200</v>
      </c>
      <c r="K35" s="23" t="s">
        <v>201</v>
      </c>
      <c r="L35" s="24" t="s">
        <v>15</v>
      </c>
      <c r="M35" s="25">
        <f t="shared" si="0"/>
        <v>1</v>
      </c>
      <c r="N35" s="21"/>
    </row>
    <row r="36" s="3" customFormat="1" ht="52" spans="1:14">
      <c r="A36" s="27"/>
      <c r="B36" s="21"/>
      <c r="C36" s="28"/>
      <c r="D36" s="28"/>
      <c r="E36" s="23" t="s">
        <v>53</v>
      </c>
      <c r="F36" s="24" t="s">
        <v>197</v>
      </c>
      <c r="G36" s="24" t="s">
        <v>202</v>
      </c>
      <c r="H36" s="24" t="s">
        <v>203</v>
      </c>
      <c r="I36" s="24" t="s">
        <v>26</v>
      </c>
      <c r="J36" s="23" t="s">
        <v>204</v>
      </c>
      <c r="K36" s="23" t="s">
        <v>205</v>
      </c>
      <c r="L36" s="24" t="s">
        <v>15</v>
      </c>
      <c r="M36" s="25">
        <f t="shared" si="0"/>
        <v>1</v>
      </c>
      <c r="N36" s="21"/>
    </row>
    <row r="37" s="3" customFormat="1" ht="52" spans="1:14">
      <c r="A37" s="27"/>
      <c r="B37" s="21"/>
      <c r="C37" s="28"/>
      <c r="D37" s="28"/>
      <c r="E37" s="23" t="s">
        <v>53</v>
      </c>
      <c r="F37" s="24" t="s">
        <v>197</v>
      </c>
      <c r="G37" s="24" t="s">
        <v>206</v>
      </c>
      <c r="H37" s="24" t="s">
        <v>207</v>
      </c>
      <c r="I37" s="24" t="s">
        <v>28</v>
      </c>
      <c r="J37" s="23" t="s">
        <v>208</v>
      </c>
      <c r="K37" s="23" t="s">
        <v>209</v>
      </c>
      <c r="L37" s="24" t="s">
        <v>15</v>
      </c>
      <c r="M37" s="25">
        <f t="shared" si="0"/>
        <v>1</v>
      </c>
      <c r="N37" s="21"/>
    </row>
    <row r="38" s="3" customFormat="1" ht="52" spans="1:14">
      <c r="A38" s="27"/>
      <c r="B38" s="21"/>
      <c r="C38" s="29"/>
      <c r="D38" s="29"/>
      <c r="E38" s="23" t="s">
        <v>53</v>
      </c>
      <c r="F38" s="24" t="s">
        <v>197</v>
      </c>
      <c r="G38" s="24" t="s">
        <v>210</v>
      </c>
      <c r="H38" s="24" t="s">
        <v>211</v>
      </c>
      <c r="I38" s="24" t="s">
        <v>24</v>
      </c>
      <c r="J38" s="23" t="s">
        <v>212</v>
      </c>
      <c r="K38" s="23" t="s">
        <v>213</v>
      </c>
      <c r="L38" s="24" t="s">
        <v>15</v>
      </c>
      <c r="M38" s="25">
        <f t="shared" si="0"/>
        <v>1</v>
      </c>
      <c r="N38" s="21"/>
    </row>
    <row r="39" s="3" customFormat="1" ht="39" spans="1:14">
      <c r="A39" s="27"/>
      <c r="B39" s="21"/>
      <c r="C39" s="22" t="s">
        <v>214</v>
      </c>
      <c r="D39" s="22" t="s">
        <v>215</v>
      </c>
      <c r="E39" s="23" t="s">
        <v>53</v>
      </c>
      <c r="F39" s="24" t="s">
        <v>216</v>
      </c>
      <c r="G39" s="24" t="s">
        <v>217</v>
      </c>
      <c r="H39" s="24" t="s">
        <v>218</v>
      </c>
      <c r="I39" s="24" t="s">
        <v>22</v>
      </c>
      <c r="J39" s="23" t="s">
        <v>219</v>
      </c>
      <c r="K39" s="23" t="s">
        <v>220</v>
      </c>
      <c r="L39" s="24" t="s">
        <v>15</v>
      </c>
      <c r="M39" s="25">
        <f t="shared" si="0"/>
        <v>1</v>
      </c>
      <c r="N39" s="21"/>
    </row>
    <row r="40" s="3" customFormat="1" ht="52" spans="1:14">
      <c r="A40" s="27"/>
      <c r="B40" s="21"/>
      <c r="C40" s="28"/>
      <c r="D40" s="28"/>
      <c r="E40" s="23" t="s">
        <v>53</v>
      </c>
      <c r="F40" s="24" t="s">
        <v>216</v>
      </c>
      <c r="G40" s="24" t="s">
        <v>221</v>
      </c>
      <c r="H40" s="24" t="s">
        <v>222</v>
      </c>
      <c r="I40" s="24" t="s">
        <v>26</v>
      </c>
      <c r="J40" s="23" t="s">
        <v>223</v>
      </c>
      <c r="K40" s="23" t="s">
        <v>224</v>
      </c>
      <c r="L40" s="24" t="s">
        <v>15</v>
      </c>
      <c r="M40" s="25">
        <f t="shared" si="0"/>
        <v>1</v>
      </c>
      <c r="N40" s="21"/>
    </row>
    <row r="41" s="3" customFormat="1" ht="52" spans="1:14">
      <c r="A41" s="27"/>
      <c r="B41" s="21"/>
      <c r="C41" s="28"/>
      <c r="D41" s="28"/>
      <c r="E41" s="23" t="s">
        <v>53</v>
      </c>
      <c r="F41" s="24" t="s">
        <v>216</v>
      </c>
      <c r="G41" s="24" t="s">
        <v>225</v>
      </c>
      <c r="H41" s="24" t="s">
        <v>226</v>
      </c>
      <c r="I41" s="24" t="s">
        <v>28</v>
      </c>
      <c r="J41" s="23" t="s">
        <v>227</v>
      </c>
      <c r="K41" s="23" t="s">
        <v>228</v>
      </c>
      <c r="L41" s="24" t="s">
        <v>15</v>
      </c>
      <c r="M41" s="25">
        <f t="shared" si="0"/>
        <v>1</v>
      </c>
      <c r="N41" s="21"/>
    </row>
    <row r="42" s="3" customFormat="1" ht="52" spans="1:14">
      <c r="A42" s="27"/>
      <c r="B42" s="21"/>
      <c r="C42" s="29"/>
      <c r="D42" s="29"/>
      <c r="E42" s="23" t="s">
        <v>53</v>
      </c>
      <c r="F42" s="24" t="s">
        <v>216</v>
      </c>
      <c r="G42" s="24" t="s">
        <v>229</v>
      </c>
      <c r="H42" s="24" t="s">
        <v>230</v>
      </c>
      <c r="I42" s="24" t="s">
        <v>24</v>
      </c>
      <c r="J42" s="23" t="s">
        <v>231</v>
      </c>
      <c r="K42" s="23" t="s">
        <v>232</v>
      </c>
      <c r="L42" s="24" t="s">
        <v>15</v>
      </c>
      <c r="M42" s="25">
        <f t="shared" si="0"/>
        <v>1</v>
      </c>
      <c r="N42" s="21"/>
    </row>
    <row r="43" s="3" customFormat="1" ht="52" spans="1:14">
      <c r="A43" s="27"/>
      <c r="B43" s="21"/>
      <c r="C43" s="22" t="s">
        <v>233</v>
      </c>
      <c r="D43" s="22" t="s">
        <v>234</v>
      </c>
      <c r="E43" s="23" t="s">
        <v>53</v>
      </c>
      <c r="F43" s="24" t="s">
        <v>235</v>
      </c>
      <c r="G43" s="24" t="s">
        <v>236</v>
      </c>
      <c r="H43" s="24" t="s">
        <v>237</v>
      </c>
      <c r="I43" s="24" t="s">
        <v>22</v>
      </c>
      <c r="J43" s="23" t="s">
        <v>238</v>
      </c>
      <c r="K43" s="23" t="s">
        <v>239</v>
      </c>
      <c r="L43" s="24" t="s">
        <v>15</v>
      </c>
      <c r="M43" s="25">
        <f t="shared" si="0"/>
        <v>1</v>
      </c>
      <c r="N43" s="21"/>
    </row>
    <row r="44" s="3" customFormat="1" ht="52" spans="1:14">
      <c r="A44" s="27"/>
      <c r="B44" s="21"/>
      <c r="C44" s="28"/>
      <c r="D44" s="28"/>
      <c r="E44" s="23" t="s">
        <v>53</v>
      </c>
      <c r="F44" s="24" t="s">
        <v>235</v>
      </c>
      <c r="G44" s="24" t="s">
        <v>240</v>
      </c>
      <c r="H44" s="24" t="s">
        <v>241</v>
      </c>
      <c r="I44" s="24" t="s">
        <v>26</v>
      </c>
      <c r="J44" s="23" t="s">
        <v>242</v>
      </c>
      <c r="K44" s="23" t="s">
        <v>243</v>
      </c>
      <c r="L44" s="24" t="s">
        <v>15</v>
      </c>
      <c r="M44" s="25">
        <f t="shared" si="0"/>
        <v>1</v>
      </c>
      <c r="N44" s="21"/>
    </row>
    <row r="45" s="3" customFormat="1" ht="52" spans="1:14">
      <c r="A45" s="27"/>
      <c r="B45" s="21"/>
      <c r="C45" s="28"/>
      <c r="D45" s="28"/>
      <c r="E45" s="23" t="s">
        <v>53</v>
      </c>
      <c r="F45" s="24" t="s">
        <v>235</v>
      </c>
      <c r="G45" s="24" t="s">
        <v>244</v>
      </c>
      <c r="H45" s="24" t="s">
        <v>245</v>
      </c>
      <c r="I45" s="24" t="s">
        <v>28</v>
      </c>
      <c r="J45" s="23" t="s">
        <v>246</v>
      </c>
      <c r="K45" s="23" t="s">
        <v>247</v>
      </c>
      <c r="L45" s="24" t="s">
        <v>15</v>
      </c>
      <c r="M45" s="25">
        <f t="shared" si="0"/>
        <v>1</v>
      </c>
      <c r="N45" s="21"/>
    </row>
    <row r="46" s="3" customFormat="1" ht="52" spans="1:14">
      <c r="A46" s="27"/>
      <c r="B46" s="21"/>
      <c r="C46" s="29"/>
      <c r="D46" s="29"/>
      <c r="E46" s="23" t="s">
        <v>53</v>
      </c>
      <c r="F46" s="24" t="s">
        <v>235</v>
      </c>
      <c r="G46" s="24" t="s">
        <v>248</v>
      </c>
      <c r="H46" s="24" t="s">
        <v>249</v>
      </c>
      <c r="I46" s="24" t="s">
        <v>24</v>
      </c>
      <c r="J46" s="23" t="s">
        <v>250</v>
      </c>
      <c r="K46" s="23" t="s">
        <v>251</v>
      </c>
      <c r="L46" s="24" t="s">
        <v>15</v>
      </c>
      <c r="M46" s="25">
        <f t="shared" si="0"/>
        <v>1</v>
      </c>
      <c r="N46" s="21"/>
    </row>
    <row r="47" s="3" customFormat="1" ht="39" spans="1:14">
      <c r="A47" s="27"/>
      <c r="B47" s="21"/>
      <c r="C47" s="22" t="s">
        <v>252</v>
      </c>
      <c r="D47" s="22" t="s">
        <v>253</v>
      </c>
      <c r="E47" s="23" t="s">
        <v>53</v>
      </c>
      <c r="F47" s="24" t="s">
        <v>254</v>
      </c>
      <c r="G47" s="24" t="s">
        <v>255</v>
      </c>
      <c r="H47" s="24" t="s">
        <v>256</v>
      </c>
      <c r="I47" s="24" t="s">
        <v>22</v>
      </c>
      <c r="J47" s="23" t="s">
        <v>257</v>
      </c>
      <c r="K47" s="23" t="s">
        <v>258</v>
      </c>
      <c r="L47" s="24" t="s">
        <v>15</v>
      </c>
      <c r="M47" s="25">
        <f t="shared" si="0"/>
        <v>1</v>
      </c>
      <c r="N47" s="21"/>
    </row>
    <row r="48" s="3" customFormat="1" ht="52" spans="1:14">
      <c r="A48" s="27"/>
      <c r="B48" s="21"/>
      <c r="C48" s="28"/>
      <c r="D48" s="28"/>
      <c r="E48" s="23" t="s">
        <v>53</v>
      </c>
      <c r="F48" s="24" t="s">
        <v>254</v>
      </c>
      <c r="G48" s="24" t="s">
        <v>259</v>
      </c>
      <c r="H48" s="24" t="s">
        <v>260</v>
      </c>
      <c r="I48" s="24" t="s">
        <v>26</v>
      </c>
      <c r="J48" s="23" t="s">
        <v>261</v>
      </c>
      <c r="K48" s="23" t="s">
        <v>262</v>
      </c>
      <c r="L48" s="24" t="s">
        <v>15</v>
      </c>
      <c r="M48" s="25">
        <f t="shared" si="0"/>
        <v>1</v>
      </c>
      <c r="N48" s="21"/>
    </row>
    <row r="49" s="3" customFormat="1" ht="52" spans="1:14">
      <c r="A49" s="27"/>
      <c r="B49" s="21"/>
      <c r="C49" s="28"/>
      <c r="D49" s="28"/>
      <c r="E49" s="23" t="s">
        <v>53</v>
      </c>
      <c r="F49" s="24" t="s">
        <v>254</v>
      </c>
      <c r="G49" s="24" t="s">
        <v>263</v>
      </c>
      <c r="H49" s="24" t="s">
        <v>264</v>
      </c>
      <c r="I49" s="24" t="s">
        <v>28</v>
      </c>
      <c r="J49" s="23" t="s">
        <v>265</v>
      </c>
      <c r="K49" s="23" t="s">
        <v>266</v>
      </c>
      <c r="L49" s="24" t="s">
        <v>15</v>
      </c>
      <c r="M49" s="25">
        <f t="shared" si="0"/>
        <v>1</v>
      </c>
      <c r="N49" s="21"/>
    </row>
    <row r="50" s="3" customFormat="1" ht="52" spans="1:14">
      <c r="A50" s="27"/>
      <c r="B50" s="21"/>
      <c r="C50" s="29"/>
      <c r="D50" s="29"/>
      <c r="E50" s="23" t="s">
        <v>53</v>
      </c>
      <c r="F50" s="24" t="s">
        <v>254</v>
      </c>
      <c r="G50" s="24" t="s">
        <v>267</v>
      </c>
      <c r="H50" s="24" t="s">
        <v>268</v>
      </c>
      <c r="I50" s="24" t="s">
        <v>24</v>
      </c>
      <c r="J50" s="23" t="s">
        <v>269</v>
      </c>
      <c r="K50" s="23" t="s">
        <v>270</v>
      </c>
      <c r="L50" s="24" t="s">
        <v>15</v>
      </c>
      <c r="M50" s="25">
        <f t="shared" si="0"/>
        <v>1</v>
      </c>
      <c r="N50" s="21"/>
    </row>
    <row r="51" s="3" customFormat="1" ht="39" spans="1:14">
      <c r="A51" s="27"/>
      <c r="B51" s="21"/>
      <c r="C51" s="22" t="s">
        <v>271</v>
      </c>
      <c r="D51" s="22" t="s">
        <v>272</v>
      </c>
      <c r="E51" s="23" t="s">
        <v>53</v>
      </c>
      <c r="F51" s="24" t="s">
        <v>273</v>
      </c>
      <c r="G51" s="24" t="s">
        <v>274</v>
      </c>
      <c r="H51" s="24" t="s">
        <v>275</v>
      </c>
      <c r="I51" s="24" t="s">
        <v>22</v>
      </c>
      <c r="J51" s="23" t="s">
        <v>276</v>
      </c>
      <c r="K51" s="23" t="s">
        <v>277</v>
      </c>
      <c r="L51" s="24" t="s">
        <v>15</v>
      </c>
      <c r="M51" s="25">
        <f t="shared" si="0"/>
        <v>1</v>
      </c>
      <c r="N51" s="21"/>
    </row>
    <row r="52" s="3" customFormat="1" ht="39" spans="1:14">
      <c r="A52" s="27"/>
      <c r="B52" s="21"/>
      <c r="C52" s="28"/>
      <c r="D52" s="28"/>
      <c r="E52" s="23" t="s">
        <v>53</v>
      </c>
      <c r="F52" s="24" t="s">
        <v>273</v>
      </c>
      <c r="G52" s="24" t="s">
        <v>278</v>
      </c>
      <c r="H52" s="24" t="s">
        <v>279</v>
      </c>
      <c r="I52" s="24" t="s">
        <v>26</v>
      </c>
      <c r="J52" s="23" t="s">
        <v>280</v>
      </c>
      <c r="K52" s="23" t="s">
        <v>281</v>
      </c>
      <c r="L52" s="24" t="s">
        <v>15</v>
      </c>
      <c r="M52" s="25">
        <f t="shared" si="0"/>
        <v>1</v>
      </c>
      <c r="N52" s="21"/>
    </row>
    <row r="53" s="3" customFormat="1" ht="52" spans="1:14">
      <c r="A53" s="27"/>
      <c r="B53" s="21"/>
      <c r="C53" s="28"/>
      <c r="D53" s="28"/>
      <c r="E53" s="23" t="s">
        <v>53</v>
      </c>
      <c r="F53" s="24" t="s">
        <v>273</v>
      </c>
      <c r="G53" s="24" t="s">
        <v>282</v>
      </c>
      <c r="H53" s="24" t="s">
        <v>283</v>
      </c>
      <c r="I53" s="24" t="s">
        <v>28</v>
      </c>
      <c r="J53" s="23" t="s">
        <v>284</v>
      </c>
      <c r="K53" s="23" t="s">
        <v>285</v>
      </c>
      <c r="L53" s="24" t="s">
        <v>15</v>
      </c>
      <c r="M53" s="25">
        <f t="shared" si="0"/>
        <v>1</v>
      </c>
      <c r="N53" s="21"/>
    </row>
    <row r="54" s="3" customFormat="1" ht="52" spans="1:14">
      <c r="A54" s="27"/>
      <c r="B54" s="21"/>
      <c r="C54" s="29"/>
      <c r="D54" s="29"/>
      <c r="E54" s="23" t="s">
        <v>53</v>
      </c>
      <c r="F54" s="24" t="s">
        <v>273</v>
      </c>
      <c r="G54" s="24" t="s">
        <v>286</v>
      </c>
      <c r="H54" s="24" t="s">
        <v>287</v>
      </c>
      <c r="I54" s="24" t="s">
        <v>24</v>
      </c>
      <c r="J54" s="23" t="s">
        <v>288</v>
      </c>
      <c r="K54" s="23" t="s">
        <v>289</v>
      </c>
      <c r="L54" s="24" t="s">
        <v>15</v>
      </c>
      <c r="M54" s="25">
        <f t="shared" si="0"/>
        <v>1</v>
      </c>
      <c r="N54" s="21"/>
    </row>
    <row r="55" s="3" customFormat="1" ht="39" spans="1:14">
      <c r="A55" s="27"/>
      <c r="B55" s="21"/>
      <c r="C55" s="22" t="s">
        <v>290</v>
      </c>
      <c r="D55" s="22" t="s">
        <v>291</v>
      </c>
      <c r="E55" s="23" t="s">
        <v>53</v>
      </c>
      <c r="F55" s="24" t="s">
        <v>292</v>
      </c>
      <c r="G55" s="24" t="s">
        <v>293</v>
      </c>
      <c r="H55" s="24" t="s">
        <v>294</v>
      </c>
      <c r="I55" s="24" t="s">
        <v>22</v>
      </c>
      <c r="J55" s="23" t="s">
        <v>295</v>
      </c>
      <c r="K55" s="23" t="s">
        <v>296</v>
      </c>
      <c r="L55" s="24" t="s">
        <v>15</v>
      </c>
      <c r="M55" s="25">
        <f t="shared" si="0"/>
        <v>1</v>
      </c>
      <c r="N55" s="21"/>
    </row>
    <row r="56" s="3" customFormat="1" ht="52" spans="1:14">
      <c r="A56" s="27"/>
      <c r="B56" s="21"/>
      <c r="C56" s="28"/>
      <c r="D56" s="28"/>
      <c r="E56" s="23" t="s">
        <v>53</v>
      </c>
      <c r="F56" s="24" t="s">
        <v>292</v>
      </c>
      <c r="G56" s="24" t="s">
        <v>297</v>
      </c>
      <c r="H56" s="24" t="s">
        <v>298</v>
      </c>
      <c r="I56" s="24" t="s">
        <v>26</v>
      </c>
      <c r="J56" s="23" t="s">
        <v>299</v>
      </c>
      <c r="K56" s="23" t="s">
        <v>300</v>
      </c>
      <c r="L56" s="24" t="s">
        <v>15</v>
      </c>
      <c r="M56" s="25">
        <f t="shared" si="0"/>
        <v>1</v>
      </c>
      <c r="N56" s="21"/>
    </row>
    <row r="57" s="3" customFormat="1" ht="52" spans="1:14">
      <c r="A57" s="27"/>
      <c r="B57" s="21"/>
      <c r="C57" s="28"/>
      <c r="D57" s="28"/>
      <c r="E57" s="23" t="s">
        <v>53</v>
      </c>
      <c r="F57" s="24" t="s">
        <v>292</v>
      </c>
      <c r="G57" s="24" t="s">
        <v>301</v>
      </c>
      <c r="H57" s="24" t="s">
        <v>302</v>
      </c>
      <c r="I57" s="24" t="s">
        <v>28</v>
      </c>
      <c r="J57" s="23" t="s">
        <v>303</v>
      </c>
      <c r="K57" s="23" t="s">
        <v>304</v>
      </c>
      <c r="L57" s="24" t="s">
        <v>15</v>
      </c>
      <c r="M57" s="25">
        <f t="shared" si="0"/>
        <v>1</v>
      </c>
      <c r="N57" s="21"/>
    </row>
    <row r="58" s="3" customFormat="1" ht="52" spans="1:14">
      <c r="A58" s="27"/>
      <c r="B58" s="21"/>
      <c r="C58" s="29"/>
      <c r="D58" s="29"/>
      <c r="E58" s="23" t="s">
        <v>53</v>
      </c>
      <c r="F58" s="24" t="s">
        <v>292</v>
      </c>
      <c r="G58" s="24" t="s">
        <v>305</v>
      </c>
      <c r="H58" s="24" t="s">
        <v>306</v>
      </c>
      <c r="I58" s="24" t="s">
        <v>24</v>
      </c>
      <c r="J58" s="23" t="s">
        <v>307</v>
      </c>
      <c r="K58" s="23" t="s">
        <v>308</v>
      </c>
      <c r="L58" s="24" t="s">
        <v>15</v>
      </c>
      <c r="M58" s="25">
        <f t="shared" si="0"/>
        <v>1</v>
      </c>
      <c r="N58" s="21"/>
    </row>
    <row r="59" s="3" customFormat="1" ht="39" spans="1:14">
      <c r="A59" s="27"/>
      <c r="B59" s="21"/>
      <c r="C59" s="22" t="s">
        <v>309</v>
      </c>
      <c r="D59" s="22" t="s">
        <v>310</v>
      </c>
      <c r="E59" s="23" t="s">
        <v>53</v>
      </c>
      <c r="F59" s="24" t="s">
        <v>311</v>
      </c>
      <c r="G59" s="24" t="s">
        <v>312</v>
      </c>
      <c r="H59" s="24" t="s">
        <v>313</v>
      </c>
      <c r="I59" s="24" t="s">
        <v>22</v>
      </c>
      <c r="J59" s="23" t="s">
        <v>314</v>
      </c>
      <c r="K59" s="23" t="s">
        <v>315</v>
      </c>
      <c r="L59" s="24" t="s">
        <v>15</v>
      </c>
      <c r="M59" s="25">
        <f t="shared" si="0"/>
        <v>1</v>
      </c>
      <c r="N59" s="21"/>
    </row>
    <row r="60" s="3" customFormat="1" ht="39" spans="1:14">
      <c r="A60" s="27"/>
      <c r="B60" s="21"/>
      <c r="C60" s="28"/>
      <c r="D60" s="28"/>
      <c r="E60" s="23" t="s">
        <v>53</v>
      </c>
      <c r="F60" s="24" t="s">
        <v>311</v>
      </c>
      <c r="G60" s="24" t="s">
        <v>316</v>
      </c>
      <c r="H60" s="24" t="s">
        <v>317</v>
      </c>
      <c r="I60" s="24" t="s">
        <v>26</v>
      </c>
      <c r="J60" s="23" t="s">
        <v>318</v>
      </c>
      <c r="K60" s="23" t="s">
        <v>319</v>
      </c>
      <c r="L60" s="24" t="s">
        <v>15</v>
      </c>
      <c r="M60" s="25">
        <f t="shared" si="0"/>
        <v>1</v>
      </c>
      <c r="N60" s="21"/>
    </row>
    <row r="61" s="3" customFormat="1" ht="39" spans="1:14">
      <c r="A61" s="27"/>
      <c r="B61" s="21"/>
      <c r="C61" s="28"/>
      <c r="D61" s="28"/>
      <c r="E61" s="23" t="s">
        <v>53</v>
      </c>
      <c r="F61" s="24" t="s">
        <v>311</v>
      </c>
      <c r="G61" s="24" t="s">
        <v>320</v>
      </c>
      <c r="H61" s="24" t="s">
        <v>321</v>
      </c>
      <c r="I61" s="24" t="s">
        <v>28</v>
      </c>
      <c r="J61" s="23" t="s">
        <v>322</v>
      </c>
      <c r="K61" s="23" t="s">
        <v>323</v>
      </c>
      <c r="L61" s="24" t="s">
        <v>15</v>
      </c>
      <c r="M61" s="25">
        <f t="shared" si="0"/>
        <v>1</v>
      </c>
      <c r="N61" s="21"/>
    </row>
    <row r="62" s="3" customFormat="1" ht="39" spans="1:14">
      <c r="A62" s="27"/>
      <c r="B62" s="21"/>
      <c r="C62" s="29"/>
      <c r="D62" s="29"/>
      <c r="E62" s="23" t="s">
        <v>53</v>
      </c>
      <c r="F62" s="24" t="s">
        <v>311</v>
      </c>
      <c r="G62" s="24" t="s">
        <v>324</v>
      </c>
      <c r="H62" s="24" t="s">
        <v>325</v>
      </c>
      <c r="I62" s="24" t="s">
        <v>24</v>
      </c>
      <c r="J62" s="23" t="s">
        <v>326</v>
      </c>
      <c r="K62" s="23" t="s">
        <v>327</v>
      </c>
      <c r="L62" s="24" t="s">
        <v>15</v>
      </c>
      <c r="M62" s="25">
        <f t="shared" si="0"/>
        <v>1</v>
      </c>
      <c r="N62" s="21"/>
    </row>
    <row r="63" s="3" customFormat="1" ht="52" spans="1:14">
      <c r="A63" s="27"/>
      <c r="B63" s="21"/>
      <c r="C63" s="22" t="s">
        <v>328</v>
      </c>
      <c r="D63" s="22" t="s">
        <v>329</v>
      </c>
      <c r="E63" s="23" t="s">
        <v>53</v>
      </c>
      <c r="F63" s="24" t="s">
        <v>330</v>
      </c>
      <c r="G63" s="24" t="s">
        <v>331</v>
      </c>
      <c r="H63" s="24" t="s">
        <v>332</v>
      </c>
      <c r="I63" s="24" t="s">
        <v>22</v>
      </c>
      <c r="J63" s="23" t="s">
        <v>333</v>
      </c>
      <c r="K63" s="23" t="s">
        <v>334</v>
      </c>
      <c r="L63" s="24" t="s">
        <v>15</v>
      </c>
      <c r="M63" s="25">
        <f t="shared" si="0"/>
        <v>1</v>
      </c>
      <c r="N63" s="21"/>
    </row>
    <row r="64" s="3" customFormat="1" ht="39" spans="1:14">
      <c r="A64" s="27"/>
      <c r="B64" s="21"/>
      <c r="C64" s="28"/>
      <c r="D64" s="28"/>
      <c r="E64" s="23" t="s">
        <v>53</v>
      </c>
      <c r="F64" s="24" t="s">
        <v>330</v>
      </c>
      <c r="G64" s="24" t="s">
        <v>335</v>
      </c>
      <c r="H64" s="24" t="s">
        <v>336</v>
      </c>
      <c r="I64" s="24" t="s">
        <v>26</v>
      </c>
      <c r="J64" s="23" t="s">
        <v>337</v>
      </c>
      <c r="K64" s="23" t="s">
        <v>338</v>
      </c>
      <c r="L64" s="24" t="s">
        <v>15</v>
      </c>
      <c r="M64" s="25">
        <f t="shared" si="0"/>
        <v>1</v>
      </c>
      <c r="N64" s="21"/>
    </row>
    <row r="65" s="3" customFormat="1" ht="39" spans="1:14">
      <c r="A65" s="27"/>
      <c r="B65" s="21"/>
      <c r="C65" s="28"/>
      <c r="D65" s="28"/>
      <c r="E65" s="23" t="s">
        <v>53</v>
      </c>
      <c r="F65" s="24" t="s">
        <v>330</v>
      </c>
      <c r="G65" s="24" t="s">
        <v>339</v>
      </c>
      <c r="H65" s="24" t="s">
        <v>340</v>
      </c>
      <c r="I65" s="24" t="s">
        <v>28</v>
      </c>
      <c r="J65" s="23" t="s">
        <v>341</v>
      </c>
      <c r="K65" s="23" t="s">
        <v>342</v>
      </c>
      <c r="L65" s="24" t="s">
        <v>15</v>
      </c>
      <c r="M65" s="25">
        <f t="shared" si="0"/>
        <v>1</v>
      </c>
      <c r="N65" s="21"/>
    </row>
    <row r="66" s="3" customFormat="1" ht="91" spans="1:14">
      <c r="A66" s="27"/>
      <c r="B66" s="21"/>
      <c r="C66" s="29"/>
      <c r="D66" s="29"/>
      <c r="E66" s="23" t="s">
        <v>53</v>
      </c>
      <c r="F66" s="24" t="s">
        <v>330</v>
      </c>
      <c r="G66" s="24" t="s">
        <v>343</v>
      </c>
      <c r="H66" s="24" t="s">
        <v>344</v>
      </c>
      <c r="I66" s="24" t="s">
        <v>24</v>
      </c>
      <c r="J66" s="23" t="s">
        <v>345</v>
      </c>
      <c r="K66" s="23" t="s">
        <v>346</v>
      </c>
      <c r="L66" s="24" t="s">
        <v>15</v>
      </c>
      <c r="M66" s="25">
        <f t="shared" si="0"/>
        <v>1</v>
      </c>
      <c r="N66" s="21"/>
    </row>
    <row r="67" s="3" customFormat="1" ht="39" spans="1:14">
      <c r="A67" s="27"/>
      <c r="B67" s="21"/>
      <c r="C67" s="22" t="s">
        <v>347</v>
      </c>
      <c r="D67" s="22" t="s">
        <v>348</v>
      </c>
      <c r="E67" s="23" t="s">
        <v>53</v>
      </c>
      <c r="F67" s="24" t="s">
        <v>349</v>
      </c>
      <c r="G67" s="24" t="s">
        <v>350</v>
      </c>
      <c r="H67" s="24" t="s">
        <v>351</v>
      </c>
      <c r="I67" s="24" t="s">
        <v>22</v>
      </c>
      <c r="J67" s="23" t="s">
        <v>352</v>
      </c>
      <c r="K67" s="23" t="s">
        <v>353</v>
      </c>
      <c r="L67" s="24" t="s">
        <v>17</v>
      </c>
      <c r="M67" s="25">
        <f t="shared" ref="M67:M126" si="1">IF(L67="新增",1,IF(L67="复用",1/3,0))</f>
        <v>0.333333333333333</v>
      </c>
      <c r="N67" s="21"/>
    </row>
    <row r="68" s="3" customFormat="1" ht="39" spans="1:14">
      <c r="A68" s="27"/>
      <c r="B68" s="21"/>
      <c r="C68" s="28"/>
      <c r="D68" s="28"/>
      <c r="E68" s="23" t="s">
        <v>53</v>
      </c>
      <c r="F68" s="24" t="s">
        <v>349</v>
      </c>
      <c r="G68" s="24" t="s">
        <v>354</v>
      </c>
      <c r="H68" s="24" t="s">
        <v>355</v>
      </c>
      <c r="I68" s="24" t="s">
        <v>26</v>
      </c>
      <c r="J68" s="23" t="s">
        <v>356</v>
      </c>
      <c r="K68" s="23" t="s">
        <v>357</v>
      </c>
      <c r="L68" s="24" t="s">
        <v>17</v>
      </c>
      <c r="M68" s="25">
        <f t="shared" si="1"/>
        <v>0.333333333333333</v>
      </c>
      <c r="N68" s="21"/>
    </row>
    <row r="69" s="3" customFormat="1" ht="52" spans="1:14">
      <c r="A69" s="27"/>
      <c r="B69" s="21"/>
      <c r="C69" s="28"/>
      <c r="D69" s="28"/>
      <c r="E69" s="23" t="s">
        <v>53</v>
      </c>
      <c r="F69" s="24" t="s">
        <v>349</v>
      </c>
      <c r="G69" s="24" t="s">
        <v>358</v>
      </c>
      <c r="H69" s="24" t="s">
        <v>359</v>
      </c>
      <c r="I69" s="24" t="s">
        <v>28</v>
      </c>
      <c r="J69" s="23" t="s">
        <v>360</v>
      </c>
      <c r="K69" s="23" t="s">
        <v>361</v>
      </c>
      <c r="L69" s="24" t="s">
        <v>17</v>
      </c>
      <c r="M69" s="25">
        <f t="shared" si="1"/>
        <v>0.333333333333333</v>
      </c>
      <c r="N69" s="21"/>
    </row>
    <row r="70" s="3" customFormat="1" ht="39" spans="1:14">
      <c r="A70" s="27"/>
      <c r="B70" s="21"/>
      <c r="C70" s="28"/>
      <c r="D70" s="29"/>
      <c r="E70" s="23" t="s">
        <v>53</v>
      </c>
      <c r="F70" s="24" t="s">
        <v>349</v>
      </c>
      <c r="G70" s="24" t="s">
        <v>362</v>
      </c>
      <c r="H70" s="24" t="s">
        <v>363</v>
      </c>
      <c r="I70" s="24" t="s">
        <v>24</v>
      </c>
      <c r="J70" s="23" t="s">
        <v>364</v>
      </c>
      <c r="K70" s="23" t="s">
        <v>365</v>
      </c>
      <c r="L70" s="24" t="s">
        <v>17</v>
      </c>
      <c r="M70" s="25">
        <f t="shared" si="1"/>
        <v>0.333333333333333</v>
      </c>
      <c r="N70" s="21"/>
    </row>
    <row r="71" s="3" customFormat="1" ht="39" spans="1:14">
      <c r="A71" s="27"/>
      <c r="B71" s="21"/>
      <c r="C71" s="28"/>
      <c r="D71" s="22" t="s">
        <v>366</v>
      </c>
      <c r="E71" s="23" t="s">
        <v>53</v>
      </c>
      <c r="F71" s="24" t="s">
        <v>367</v>
      </c>
      <c r="G71" s="24" t="s">
        <v>368</v>
      </c>
      <c r="H71" s="24" t="s">
        <v>351</v>
      </c>
      <c r="I71" s="24" t="s">
        <v>22</v>
      </c>
      <c r="J71" s="23" t="s">
        <v>352</v>
      </c>
      <c r="K71" s="23" t="s">
        <v>369</v>
      </c>
      <c r="L71" s="24" t="s">
        <v>17</v>
      </c>
      <c r="M71" s="25">
        <f t="shared" si="1"/>
        <v>0.333333333333333</v>
      </c>
      <c r="N71" s="21"/>
    </row>
    <row r="72" s="3" customFormat="1" ht="39" spans="1:14">
      <c r="A72" s="27"/>
      <c r="B72" s="21"/>
      <c r="C72" s="28"/>
      <c r="D72" s="28"/>
      <c r="E72" s="23" t="s">
        <v>53</v>
      </c>
      <c r="F72" s="24" t="s">
        <v>367</v>
      </c>
      <c r="G72" s="24" t="s">
        <v>370</v>
      </c>
      <c r="H72" s="24" t="s">
        <v>371</v>
      </c>
      <c r="I72" s="24" t="s">
        <v>26</v>
      </c>
      <c r="J72" s="23" t="s">
        <v>356</v>
      </c>
      <c r="K72" s="23" t="s">
        <v>372</v>
      </c>
      <c r="L72" s="24" t="s">
        <v>17</v>
      </c>
      <c r="M72" s="25">
        <f t="shared" si="1"/>
        <v>0.333333333333333</v>
      </c>
      <c r="N72" s="21"/>
    </row>
    <row r="73" s="3" customFormat="1" ht="52" spans="1:14">
      <c r="A73" s="27"/>
      <c r="B73" s="21"/>
      <c r="C73" s="28"/>
      <c r="D73" s="28"/>
      <c r="E73" s="23" t="s">
        <v>53</v>
      </c>
      <c r="F73" s="24" t="s">
        <v>367</v>
      </c>
      <c r="G73" s="24" t="s">
        <v>373</v>
      </c>
      <c r="H73" s="24" t="s">
        <v>359</v>
      </c>
      <c r="I73" s="24" t="s">
        <v>28</v>
      </c>
      <c r="J73" s="23" t="s">
        <v>360</v>
      </c>
      <c r="K73" s="23" t="s">
        <v>374</v>
      </c>
      <c r="L73" s="24" t="s">
        <v>17</v>
      </c>
      <c r="M73" s="25">
        <f t="shared" si="1"/>
        <v>0.333333333333333</v>
      </c>
      <c r="N73" s="21"/>
    </row>
    <row r="74" s="3" customFormat="1" ht="39" spans="1:14">
      <c r="A74" s="27"/>
      <c r="B74" s="21"/>
      <c r="C74" s="28"/>
      <c r="D74" s="29"/>
      <c r="E74" s="23" t="s">
        <v>53</v>
      </c>
      <c r="F74" s="24" t="s">
        <v>367</v>
      </c>
      <c r="G74" s="24" t="s">
        <v>375</v>
      </c>
      <c r="H74" s="24" t="s">
        <v>363</v>
      </c>
      <c r="I74" s="24" t="s">
        <v>24</v>
      </c>
      <c r="J74" s="23" t="s">
        <v>364</v>
      </c>
      <c r="K74" s="23" t="s">
        <v>376</v>
      </c>
      <c r="L74" s="24" t="s">
        <v>17</v>
      </c>
      <c r="M74" s="25">
        <f t="shared" si="1"/>
        <v>0.333333333333333</v>
      </c>
      <c r="N74" s="21"/>
    </row>
    <row r="75" s="3" customFormat="1" ht="39" spans="1:14">
      <c r="A75" s="27"/>
      <c r="B75" s="21"/>
      <c r="C75" s="28"/>
      <c r="D75" s="22" t="s">
        <v>377</v>
      </c>
      <c r="E75" s="23" t="s">
        <v>53</v>
      </c>
      <c r="F75" s="24" t="s">
        <v>378</v>
      </c>
      <c r="G75" s="24" t="s">
        <v>379</v>
      </c>
      <c r="H75" s="24" t="s">
        <v>351</v>
      </c>
      <c r="I75" s="24" t="s">
        <v>22</v>
      </c>
      <c r="J75" s="23" t="s">
        <v>352</v>
      </c>
      <c r="K75" s="23" t="s">
        <v>380</v>
      </c>
      <c r="L75" s="24" t="s">
        <v>17</v>
      </c>
      <c r="M75" s="25">
        <f t="shared" si="1"/>
        <v>0.333333333333333</v>
      </c>
      <c r="N75" s="21"/>
    </row>
    <row r="76" s="3" customFormat="1" ht="39" spans="1:14">
      <c r="A76" s="27"/>
      <c r="B76" s="21"/>
      <c r="C76" s="28"/>
      <c r="D76" s="28"/>
      <c r="E76" s="23" t="s">
        <v>53</v>
      </c>
      <c r="F76" s="24" t="s">
        <v>378</v>
      </c>
      <c r="G76" s="24" t="s">
        <v>381</v>
      </c>
      <c r="H76" s="24" t="s">
        <v>382</v>
      </c>
      <c r="I76" s="24" t="s">
        <v>26</v>
      </c>
      <c r="J76" s="23" t="s">
        <v>356</v>
      </c>
      <c r="K76" s="23" t="s">
        <v>383</v>
      </c>
      <c r="L76" s="24" t="s">
        <v>17</v>
      </c>
      <c r="M76" s="25">
        <f t="shared" si="1"/>
        <v>0.333333333333333</v>
      </c>
      <c r="N76" s="21"/>
    </row>
    <row r="77" s="3" customFormat="1" ht="39" spans="1:14">
      <c r="A77" s="27"/>
      <c r="B77" s="21"/>
      <c r="C77" s="28"/>
      <c r="D77" s="28"/>
      <c r="E77" s="23" t="s">
        <v>53</v>
      </c>
      <c r="F77" s="24" t="s">
        <v>378</v>
      </c>
      <c r="G77" s="24" t="s">
        <v>384</v>
      </c>
      <c r="H77" s="24" t="s">
        <v>359</v>
      </c>
      <c r="I77" s="24" t="s">
        <v>28</v>
      </c>
      <c r="J77" s="23" t="s">
        <v>360</v>
      </c>
      <c r="K77" s="23" t="s">
        <v>385</v>
      </c>
      <c r="L77" s="24" t="s">
        <v>17</v>
      </c>
      <c r="M77" s="25">
        <f t="shared" si="1"/>
        <v>0.333333333333333</v>
      </c>
      <c r="N77" s="21"/>
    </row>
    <row r="78" s="3" customFormat="1" ht="39" spans="1:14">
      <c r="A78" s="27"/>
      <c r="B78" s="21"/>
      <c r="C78" s="29"/>
      <c r="D78" s="29"/>
      <c r="E78" s="23" t="s">
        <v>53</v>
      </c>
      <c r="F78" s="24" t="s">
        <v>378</v>
      </c>
      <c r="G78" s="24" t="s">
        <v>386</v>
      </c>
      <c r="H78" s="24" t="s">
        <v>363</v>
      </c>
      <c r="I78" s="24" t="s">
        <v>24</v>
      </c>
      <c r="J78" s="23" t="s">
        <v>364</v>
      </c>
      <c r="K78" s="23" t="s">
        <v>387</v>
      </c>
      <c r="L78" s="24" t="s">
        <v>17</v>
      </c>
      <c r="M78" s="25">
        <f t="shared" si="1"/>
        <v>0.333333333333333</v>
      </c>
      <c r="N78" s="21"/>
    </row>
    <row r="79" s="3" customFormat="1" ht="39" spans="1:14">
      <c r="A79" s="27"/>
      <c r="B79" s="21"/>
      <c r="C79" s="22" t="s">
        <v>388</v>
      </c>
      <c r="D79" s="22" t="s">
        <v>389</v>
      </c>
      <c r="E79" s="23" t="s">
        <v>53</v>
      </c>
      <c r="F79" s="24" t="s">
        <v>390</v>
      </c>
      <c r="G79" s="24" t="s">
        <v>391</v>
      </c>
      <c r="H79" s="24" t="s">
        <v>392</v>
      </c>
      <c r="I79" s="24" t="s">
        <v>22</v>
      </c>
      <c r="J79" s="23" t="s">
        <v>393</v>
      </c>
      <c r="K79" s="23" t="s">
        <v>394</v>
      </c>
      <c r="L79" s="24" t="s">
        <v>15</v>
      </c>
      <c r="M79" s="25">
        <f t="shared" si="1"/>
        <v>1</v>
      </c>
      <c r="N79" s="21"/>
    </row>
    <row r="80" s="3" customFormat="1" ht="52" spans="1:14">
      <c r="A80" s="27"/>
      <c r="B80" s="21"/>
      <c r="C80" s="28"/>
      <c r="D80" s="28"/>
      <c r="E80" s="23" t="s">
        <v>53</v>
      </c>
      <c r="F80" s="24" t="s">
        <v>390</v>
      </c>
      <c r="G80" s="24" t="s">
        <v>395</v>
      </c>
      <c r="H80" s="24" t="s">
        <v>396</v>
      </c>
      <c r="I80" s="24" t="s">
        <v>26</v>
      </c>
      <c r="J80" s="23" t="s">
        <v>397</v>
      </c>
      <c r="K80" s="23" t="s">
        <v>398</v>
      </c>
      <c r="L80" s="24" t="s">
        <v>15</v>
      </c>
      <c r="M80" s="25">
        <f t="shared" si="1"/>
        <v>1</v>
      </c>
      <c r="N80" s="21"/>
    </row>
    <row r="81" s="3" customFormat="1" ht="52" spans="1:14">
      <c r="A81" s="27"/>
      <c r="B81" s="21"/>
      <c r="C81" s="28"/>
      <c r="D81" s="28"/>
      <c r="E81" s="23" t="s">
        <v>53</v>
      </c>
      <c r="F81" s="24" t="s">
        <v>390</v>
      </c>
      <c r="G81" s="24" t="s">
        <v>399</v>
      </c>
      <c r="H81" s="24" t="s">
        <v>400</v>
      </c>
      <c r="I81" s="24" t="s">
        <v>28</v>
      </c>
      <c r="J81" s="23" t="s">
        <v>401</v>
      </c>
      <c r="K81" s="23" t="s">
        <v>402</v>
      </c>
      <c r="L81" s="24" t="s">
        <v>15</v>
      </c>
      <c r="M81" s="25">
        <f t="shared" si="1"/>
        <v>1</v>
      </c>
      <c r="N81" s="21"/>
    </row>
    <row r="82" s="3" customFormat="1" ht="52" spans="1:14">
      <c r="A82" s="27"/>
      <c r="B82" s="21"/>
      <c r="C82" s="29"/>
      <c r="D82" s="29"/>
      <c r="E82" s="23" t="s">
        <v>53</v>
      </c>
      <c r="F82" s="24" t="s">
        <v>390</v>
      </c>
      <c r="G82" s="24" t="s">
        <v>403</v>
      </c>
      <c r="H82" s="24" t="s">
        <v>404</v>
      </c>
      <c r="I82" s="24" t="s">
        <v>24</v>
      </c>
      <c r="J82" s="23" t="s">
        <v>405</v>
      </c>
      <c r="K82" s="23" t="s">
        <v>406</v>
      </c>
      <c r="L82" s="24" t="s">
        <v>15</v>
      </c>
      <c r="M82" s="25">
        <f t="shared" si="1"/>
        <v>1</v>
      </c>
      <c r="N82" s="21"/>
    </row>
    <row r="83" s="3" customFormat="1" ht="39" spans="1:14">
      <c r="A83" s="27"/>
      <c r="B83" s="21"/>
      <c r="C83" s="22" t="s">
        <v>407</v>
      </c>
      <c r="D83" s="22" t="s">
        <v>408</v>
      </c>
      <c r="E83" s="23" t="s">
        <v>53</v>
      </c>
      <c r="F83" s="24" t="s">
        <v>409</v>
      </c>
      <c r="G83" s="24" t="s">
        <v>410</v>
      </c>
      <c r="H83" s="24" t="s">
        <v>411</v>
      </c>
      <c r="I83" s="24" t="s">
        <v>22</v>
      </c>
      <c r="J83" s="23" t="s">
        <v>412</v>
      </c>
      <c r="K83" s="23" t="s">
        <v>413</v>
      </c>
      <c r="L83" s="24" t="s">
        <v>15</v>
      </c>
      <c r="M83" s="25">
        <f t="shared" si="1"/>
        <v>1</v>
      </c>
      <c r="N83" s="21"/>
    </row>
    <row r="84" s="3" customFormat="1" ht="52" spans="1:14">
      <c r="A84" s="27"/>
      <c r="B84" s="21"/>
      <c r="C84" s="28"/>
      <c r="D84" s="28"/>
      <c r="E84" s="23" t="s">
        <v>53</v>
      </c>
      <c r="F84" s="24" t="s">
        <v>409</v>
      </c>
      <c r="G84" s="24" t="s">
        <v>414</v>
      </c>
      <c r="H84" s="24" t="s">
        <v>415</v>
      </c>
      <c r="I84" s="24" t="s">
        <v>26</v>
      </c>
      <c r="J84" s="23" t="s">
        <v>416</v>
      </c>
      <c r="K84" s="23" t="s">
        <v>417</v>
      </c>
      <c r="L84" s="24" t="s">
        <v>15</v>
      </c>
      <c r="M84" s="25">
        <f t="shared" si="1"/>
        <v>1</v>
      </c>
      <c r="N84" s="21"/>
    </row>
    <row r="85" s="3" customFormat="1" ht="39" spans="1:14">
      <c r="A85" s="27"/>
      <c r="B85" s="21"/>
      <c r="C85" s="28"/>
      <c r="D85" s="28"/>
      <c r="E85" s="23" t="s">
        <v>53</v>
      </c>
      <c r="F85" s="24" t="s">
        <v>409</v>
      </c>
      <c r="G85" s="24" t="s">
        <v>418</v>
      </c>
      <c r="H85" s="24" t="s">
        <v>419</v>
      </c>
      <c r="I85" s="24" t="s">
        <v>28</v>
      </c>
      <c r="J85" s="23" t="s">
        <v>420</v>
      </c>
      <c r="K85" s="23" t="s">
        <v>421</v>
      </c>
      <c r="L85" s="24" t="s">
        <v>15</v>
      </c>
      <c r="M85" s="25">
        <f t="shared" si="1"/>
        <v>1</v>
      </c>
      <c r="N85" s="21"/>
    </row>
    <row r="86" s="3" customFormat="1" ht="52" spans="1:14">
      <c r="A86" s="27"/>
      <c r="B86" s="21"/>
      <c r="C86" s="28"/>
      <c r="D86" s="29"/>
      <c r="E86" s="23" t="s">
        <v>53</v>
      </c>
      <c r="F86" s="24" t="s">
        <v>409</v>
      </c>
      <c r="G86" s="24" t="s">
        <v>422</v>
      </c>
      <c r="H86" s="24" t="s">
        <v>423</v>
      </c>
      <c r="I86" s="24" t="s">
        <v>24</v>
      </c>
      <c r="J86" s="23" t="s">
        <v>424</v>
      </c>
      <c r="K86" s="23" t="s">
        <v>425</v>
      </c>
      <c r="L86" s="24" t="s">
        <v>15</v>
      </c>
      <c r="M86" s="25">
        <f t="shared" si="1"/>
        <v>1</v>
      </c>
      <c r="N86" s="21"/>
    </row>
    <row r="87" s="3" customFormat="1" ht="39" spans="1:14">
      <c r="A87" s="27"/>
      <c r="B87" s="21"/>
      <c r="C87" s="28"/>
      <c r="D87" s="22" t="s">
        <v>426</v>
      </c>
      <c r="E87" s="23" t="s">
        <v>53</v>
      </c>
      <c r="F87" s="24" t="s">
        <v>216</v>
      </c>
      <c r="G87" s="24" t="s">
        <v>427</v>
      </c>
      <c r="H87" s="24" t="s">
        <v>428</v>
      </c>
      <c r="I87" s="24" t="s">
        <v>22</v>
      </c>
      <c r="J87" s="23" t="s">
        <v>429</v>
      </c>
      <c r="K87" s="23" t="s">
        <v>430</v>
      </c>
      <c r="L87" s="24" t="s">
        <v>15</v>
      </c>
      <c r="M87" s="25">
        <f t="shared" si="1"/>
        <v>1</v>
      </c>
      <c r="N87" s="21"/>
    </row>
    <row r="88" s="3" customFormat="1" ht="52" spans="1:14">
      <c r="A88" s="27"/>
      <c r="B88" s="21"/>
      <c r="C88" s="28"/>
      <c r="D88" s="28"/>
      <c r="E88" s="23" t="s">
        <v>53</v>
      </c>
      <c r="F88" s="24" t="s">
        <v>216</v>
      </c>
      <c r="G88" s="24" t="s">
        <v>431</v>
      </c>
      <c r="H88" s="24" t="s">
        <v>432</v>
      </c>
      <c r="I88" s="24" t="s">
        <v>26</v>
      </c>
      <c r="J88" s="23" t="s">
        <v>433</v>
      </c>
      <c r="K88" s="23" t="s">
        <v>434</v>
      </c>
      <c r="L88" s="24" t="s">
        <v>15</v>
      </c>
      <c r="M88" s="25">
        <f t="shared" si="1"/>
        <v>1</v>
      </c>
      <c r="N88" s="21"/>
    </row>
    <row r="89" s="3" customFormat="1" ht="39" spans="1:14">
      <c r="A89" s="27"/>
      <c r="B89" s="21"/>
      <c r="C89" s="28"/>
      <c r="D89" s="28"/>
      <c r="E89" s="23" t="s">
        <v>53</v>
      </c>
      <c r="F89" s="24" t="s">
        <v>216</v>
      </c>
      <c r="G89" s="24" t="s">
        <v>435</v>
      </c>
      <c r="H89" s="24" t="s">
        <v>436</v>
      </c>
      <c r="I89" s="24" t="s">
        <v>28</v>
      </c>
      <c r="J89" s="23" t="s">
        <v>437</v>
      </c>
      <c r="K89" s="23" t="s">
        <v>438</v>
      </c>
      <c r="L89" s="24" t="s">
        <v>15</v>
      </c>
      <c r="M89" s="25">
        <f t="shared" si="1"/>
        <v>1</v>
      </c>
      <c r="N89" s="21"/>
    </row>
    <row r="90" s="3" customFormat="1" ht="39" spans="1:14">
      <c r="A90" s="27"/>
      <c r="B90" s="21"/>
      <c r="C90" s="28"/>
      <c r="D90" s="29"/>
      <c r="E90" s="23" t="s">
        <v>53</v>
      </c>
      <c r="F90" s="24" t="s">
        <v>216</v>
      </c>
      <c r="G90" s="24" t="s">
        <v>439</v>
      </c>
      <c r="H90" s="24" t="s">
        <v>440</v>
      </c>
      <c r="I90" s="24" t="s">
        <v>24</v>
      </c>
      <c r="J90" s="23" t="s">
        <v>441</v>
      </c>
      <c r="K90" s="23" t="s">
        <v>442</v>
      </c>
      <c r="L90" s="24" t="s">
        <v>15</v>
      </c>
      <c r="M90" s="25">
        <f t="shared" si="1"/>
        <v>1</v>
      </c>
      <c r="N90" s="21"/>
    </row>
    <row r="91" s="3" customFormat="1" ht="39" spans="1:14">
      <c r="A91" s="27"/>
      <c r="B91" s="21"/>
      <c r="C91" s="28"/>
      <c r="D91" s="22" t="s">
        <v>443</v>
      </c>
      <c r="E91" s="23" t="s">
        <v>53</v>
      </c>
      <c r="F91" s="24" t="s">
        <v>444</v>
      </c>
      <c r="G91" s="24" t="s">
        <v>445</v>
      </c>
      <c r="H91" s="24" t="s">
        <v>446</v>
      </c>
      <c r="I91" s="24" t="s">
        <v>22</v>
      </c>
      <c r="J91" s="23" t="s">
        <v>447</v>
      </c>
      <c r="K91" s="23" t="s">
        <v>448</v>
      </c>
      <c r="L91" s="24" t="s">
        <v>15</v>
      </c>
      <c r="M91" s="25">
        <f t="shared" si="1"/>
        <v>1</v>
      </c>
      <c r="N91" s="21"/>
    </row>
    <row r="92" s="3" customFormat="1" ht="52" spans="1:14">
      <c r="A92" s="27"/>
      <c r="B92" s="21"/>
      <c r="C92" s="28"/>
      <c r="D92" s="28"/>
      <c r="E92" s="23" t="s">
        <v>53</v>
      </c>
      <c r="F92" s="24" t="s">
        <v>444</v>
      </c>
      <c r="G92" s="24" t="s">
        <v>449</v>
      </c>
      <c r="H92" s="24" t="s">
        <v>450</v>
      </c>
      <c r="I92" s="24" t="s">
        <v>26</v>
      </c>
      <c r="J92" s="23" t="s">
        <v>451</v>
      </c>
      <c r="K92" s="23" t="s">
        <v>452</v>
      </c>
      <c r="L92" s="24" t="s">
        <v>15</v>
      </c>
      <c r="M92" s="25">
        <f t="shared" si="1"/>
        <v>1</v>
      </c>
      <c r="N92" s="21"/>
    </row>
    <row r="93" s="3" customFormat="1" ht="52" spans="1:14">
      <c r="A93" s="27"/>
      <c r="B93" s="21"/>
      <c r="C93" s="28"/>
      <c r="D93" s="28"/>
      <c r="E93" s="23" t="s">
        <v>53</v>
      </c>
      <c r="F93" s="24" t="s">
        <v>444</v>
      </c>
      <c r="G93" s="24" t="s">
        <v>453</v>
      </c>
      <c r="H93" s="24" t="s">
        <v>454</v>
      </c>
      <c r="I93" s="24" t="s">
        <v>28</v>
      </c>
      <c r="J93" s="23" t="s">
        <v>455</v>
      </c>
      <c r="K93" s="23" t="s">
        <v>456</v>
      </c>
      <c r="L93" s="24" t="s">
        <v>15</v>
      </c>
      <c r="M93" s="25">
        <f t="shared" si="1"/>
        <v>1</v>
      </c>
      <c r="N93" s="21"/>
    </row>
    <row r="94" s="3" customFormat="1" ht="52" spans="1:14">
      <c r="A94" s="27"/>
      <c r="B94" s="21"/>
      <c r="C94" s="29"/>
      <c r="D94" s="29"/>
      <c r="E94" s="23" t="s">
        <v>53</v>
      </c>
      <c r="F94" s="24" t="s">
        <v>444</v>
      </c>
      <c r="G94" s="24" t="s">
        <v>457</v>
      </c>
      <c r="H94" s="24" t="s">
        <v>458</v>
      </c>
      <c r="I94" s="24" t="s">
        <v>24</v>
      </c>
      <c r="J94" s="23" t="s">
        <v>459</v>
      </c>
      <c r="K94" s="23" t="s">
        <v>460</v>
      </c>
      <c r="L94" s="24" t="s">
        <v>15</v>
      </c>
      <c r="M94" s="25">
        <f t="shared" si="1"/>
        <v>1</v>
      </c>
      <c r="N94" s="21"/>
    </row>
    <row r="95" s="3" customFormat="1" ht="39" spans="1:14">
      <c r="A95" s="27"/>
      <c r="B95" s="21"/>
      <c r="C95" s="22" t="s">
        <v>461</v>
      </c>
      <c r="D95" s="22" t="s">
        <v>462</v>
      </c>
      <c r="E95" s="23" t="s">
        <v>53</v>
      </c>
      <c r="F95" s="24" t="s">
        <v>463</v>
      </c>
      <c r="G95" s="24" t="s">
        <v>464</v>
      </c>
      <c r="H95" s="24" t="s">
        <v>351</v>
      </c>
      <c r="I95" s="24" t="s">
        <v>22</v>
      </c>
      <c r="J95" s="23" t="s">
        <v>352</v>
      </c>
      <c r="K95" s="23" t="s">
        <v>465</v>
      </c>
      <c r="L95" s="24" t="s">
        <v>17</v>
      </c>
      <c r="M95" s="25">
        <f t="shared" si="1"/>
        <v>0.333333333333333</v>
      </c>
      <c r="N95" s="21"/>
    </row>
    <row r="96" s="3" customFormat="1" ht="39" spans="1:14">
      <c r="A96" s="27"/>
      <c r="B96" s="21"/>
      <c r="C96" s="28"/>
      <c r="D96" s="28"/>
      <c r="E96" s="23" t="s">
        <v>53</v>
      </c>
      <c r="F96" s="24" t="s">
        <v>463</v>
      </c>
      <c r="G96" s="24" t="s">
        <v>466</v>
      </c>
      <c r="H96" s="24" t="s">
        <v>467</v>
      </c>
      <c r="I96" s="24" t="s">
        <v>26</v>
      </c>
      <c r="J96" s="23" t="s">
        <v>356</v>
      </c>
      <c r="K96" s="23" t="s">
        <v>468</v>
      </c>
      <c r="L96" s="24" t="s">
        <v>17</v>
      </c>
      <c r="M96" s="25">
        <f t="shared" si="1"/>
        <v>0.333333333333333</v>
      </c>
      <c r="N96" s="21"/>
    </row>
    <row r="97" s="3" customFormat="1" ht="52" spans="1:14">
      <c r="A97" s="27"/>
      <c r="B97" s="21"/>
      <c r="C97" s="28"/>
      <c r="D97" s="28"/>
      <c r="E97" s="23" t="s">
        <v>53</v>
      </c>
      <c r="F97" s="24" t="s">
        <v>463</v>
      </c>
      <c r="G97" s="24" t="s">
        <v>469</v>
      </c>
      <c r="H97" s="24" t="s">
        <v>359</v>
      </c>
      <c r="I97" s="24" t="s">
        <v>28</v>
      </c>
      <c r="J97" s="23" t="s">
        <v>360</v>
      </c>
      <c r="K97" s="23" t="s">
        <v>470</v>
      </c>
      <c r="L97" s="24" t="s">
        <v>17</v>
      </c>
      <c r="M97" s="25">
        <f t="shared" si="1"/>
        <v>0.333333333333333</v>
      </c>
      <c r="N97" s="21"/>
    </row>
    <row r="98" s="3" customFormat="1" ht="39" spans="1:14">
      <c r="A98" s="27"/>
      <c r="B98" s="21"/>
      <c r="C98" s="28"/>
      <c r="D98" s="29"/>
      <c r="E98" s="23" t="s">
        <v>53</v>
      </c>
      <c r="F98" s="24" t="s">
        <v>463</v>
      </c>
      <c r="G98" s="24" t="s">
        <v>471</v>
      </c>
      <c r="H98" s="24" t="s">
        <v>363</v>
      </c>
      <c r="I98" s="24" t="s">
        <v>24</v>
      </c>
      <c r="J98" s="23" t="s">
        <v>364</v>
      </c>
      <c r="K98" s="23" t="s">
        <v>472</v>
      </c>
      <c r="L98" s="24" t="s">
        <v>17</v>
      </c>
      <c r="M98" s="25">
        <f t="shared" si="1"/>
        <v>0.333333333333333</v>
      </c>
      <c r="N98" s="21"/>
    </row>
    <row r="99" s="3" customFormat="1" ht="39" spans="1:14">
      <c r="A99" s="27"/>
      <c r="B99" s="21"/>
      <c r="C99" s="28"/>
      <c r="D99" s="22" t="s">
        <v>473</v>
      </c>
      <c r="E99" s="23" t="s">
        <v>53</v>
      </c>
      <c r="F99" s="24" t="s">
        <v>474</v>
      </c>
      <c r="G99" s="24" t="s">
        <v>475</v>
      </c>
      <c r="H99" s="24" t="s">
        <v>351</v>
      </c>
      <c r="I99" s="24" t="s">
        <v>22</v>
      </c>
      <c r="J99" s="23" t="s">
        <v>352</v>
      </c>
      <c r="K99" s="23" t="s">
        <v>476</v>
      </c>
      <c r="L99" s="24" t="s">
        <v>17</v>
      </c>
      <c r="M99" s="25">
        <f t="shared" si="1"/>
        <v>0.333333333333333</v>
      </c>
      <c r="N99" s="21"/>
    </row>
    <row r="100" s="3" customFormat="1" ht="39" spans="1:14">
      <c r="A100" s="27"/>
      <c r="B100" s="21"/>
      <c r="C100" s="28"/>
      <c r="D100" s="28"/>
      <c r="E100" s="23" t="s">
        <v>53</v>
      </c>
      <c r="F100" s="24" t="s">
        <v>474</v>
      </c>
      <c r="G100" s="24" t="s">
        <v>477</v>
      </c>
      <c r="H100" s="24" t="s">
        <v>478</v>
      </c>
      <c r="I100" s="24" t="s">
        <v>26</v>
      </c>
      <c r="J100" s="23" t="s">
        <v>356</v>
      </c>
      <c r="K100" s="23" t="s">
        <v>479</v>
      </c>
      <c r="L100" s="24" t="s">
        <v>17</v>
      </c>
      <c r="M100" s="25">
        <f t="shared" si="1"/>
        <v>0.333333333333333</v>
      </c>
      <c r="N100" s="21"/>
    </row>
    <row r="101" s="3" customFormat="1" ht="39" spans="1:14">
      <c r="A101" s="27"/>
      <c r="B101" s="21"/>
      <c r="C101" s="28"/>
      <c r="D101" s="28"/>
      <c r="E101" s="23" t="s">
        <v>53</v>
      </c>
      <c r="F101" s="24" t="s">
        <v>474</v>
      </c>
      <c r="G101" s="24" t="s">
        <v>480</v>
      </c>
      <c r="H101" s="24" t="s">
        <v>359</v>
      </c>
      <c r="I101" s="24" t="s">
        <v>28</v>
      </c>
      <c r="J101" s="23" t="s">
        <v>360</v>
      </c>
      <c r="K101" s="23" t="s">
        <v>481</v>
      </c>
      <c r="L101" s="24" t="s">
        <v>17</v>
      </c>
      <c r="M101" s="25">
        <f t="shared" si="1"/>
        <v>0.333333333333333</v>
      </c>
      <c r="N101" s="21"/>
    </row>
    <row r="102" s="3" customFormat="1" ht="39" spans="1:14">
      <c r="A102" s="27"/>
      <c r="B102" s="21"/>
      <c r="C102" s="29"/>
      <c r="D102" s="29"/>
      <c r="E102" s="23" t="s">
        <v>53</v>
      </c>
      <c r="F102" s="24" t="s">
        <v>474</v>
      </c>
      <c r="G102" s="24" t="s">
        <v>482</v>
      </c>
      <c r="H102" s="24" t="s">
        <v>363</v>
      </c>
      <c r="I102" s="24" t="s">
        <v>24</v>
      </c>
      <c r="J102" s="23" t="s">
        <v>364</v>
      </c>
      <c r="K102" s="23" t="s">
        <v>483</v>
      </c>
      <c r="L102" s="24" t="s">
        <v>17</v>
      </c>
      <c r="M102" s="25">
        <f t="shared" si="1"/>
        <v>0.333333333333333</v>
      </c>
      <c r="N102" s="21"/>
    </row>
    <row r="103" s="3" customFormat="1" ht="39" spans="1:14">
      <c r="A103" s="27"/>
      <c r="B103" s="21"/>
      <c r="C103" s="22" t="s">
        <v>484</v>
      </c>
      <c r="D103" s="22" t="s">
        <v>485</v>
      </c>
      <c r="E103" s="23" t="s">
        <v>53</v>
      </c>
      <c r="F103" s="24" t="s">
        <v>486</v>
      </c>
      <c r="G103" s="24" t="s">
        <v>487</v>
      </c>
      <c r="H103" s="24" t="s">
        <v>488</v>
      </c>
      <c r="I103" s="24" t="s">
        <v>22</v>
      </c>
      <c r="J103" s="23" t="s">
        <v>489</v>
      </c>
      <c r="K103" s="23" t="s">
        <v>490</v>
      </c>
      <c r="L103" s="24" t="s">
        <v>15</v>
      </c>
      <c r="M103" s="25">
        <f t="shared" si="1"/>
        <v>1</v>
      </c>
      <c r="N103" s="21"/>
    </row>
    <row r="104" s="3" customFormat="1" ht="65" spans="1:14">
      <c r="A104" s="27"/>
      <c r="B104" s="21"/>
      <c r="C104" s="28"/>
      <c r="D104" s="28"/>
      <c r="E104" s="23" t="s">
        <v>53</v>
      </c>
      <c r="F104" s="24" t="s">
        <v>486</v>
      </c>
      <c r="G104" s="24" t="s">
        <v>491</v>
      </c>
      <c r="H104" s="24" t="s">
        <v>492</v>
      </c>
      <c r="I104" s="24" t="s">
        <v>26</v>
      </c>
      <c r="J104" s="23" t="s">
        <v>493</v>
      </c>
      <c r="K104" s="23" t="s">
        <v>494</v>
      </c>
      <c r="L104" s="24" t="s">
        <v>15</v>
      </c>
      <c r="M104" s="25">
        <f t="shared" si="1"/>
        <v>1</v>
      </c>
      <c r="N104" s="21"/>
    </row>
    <row r="105" s="3" customFormat="1" ht="52" spans="1:14">
      <c r="A105" s="27"/>
      <c r="B105" s="21"/>
      <c r="C105" s="28"/>
      <c r="D105" s="28"/>
      <c r="E105" s="23" t="s">
        <v>53</v>
      </c>
      <c r="F105" s="24" t="s">
        <v>486</v>
      </c>
      <c r="G105" s="24" t="s">
        <v>495</v>
      </c>
      <c r="H105" s="24" t="s">
        <v>496</v>
      </c>
      <c r="I105" s="24" t="s">
        <v>28</v>
      </c>
      <c r="J105" s="23" t="s">
        <v>497</v>
      </c>
      <c r="K105" s="23" t="s">
        <v>498</v>
      </c>
      <c r="L105" s="24" t="s">
        <v>15</v>
      </c>
      <c r="M105" s="25">
        <f t="shared" si="1"/>
        <v>1</v>
      </c>
      <c r="N105" s="21"/>
    </row>
    <row r="106" s="3" customFormat="1" ht="39" spans="1:14">
      <c r="A106" s="27"/>
      <c r="B106" s="21"/>
      <c r="C106" s="29"/>
      <c r="D106" s="29"/>
      <c r="E106" s="23" t="s">
        <v>53</v>
      </c>
      <c r="F106" s="24" t="s">
        <v>486</v>
      </c>
      <c r="G106" s="24" t="s">
        <v>499</v>
      </c>
      <c r="H106" s="24" t="s">
        <v>500</v>
      </c>
      <c r="I106" s="24" t="s">
        <v>24</v>
      </c>
      <c r="J106" s="23" t="s">
        <v>501</v>
      </c>
      <c r="K106" s="23" t="s">
        <v>502</v>
      </c>
      <c r="L106" s="24" t="s">
        <v>15</v>
      </c>
      <c r="M106" s="25">
        <f t="shared" si="1"/>
        <v>1</v>
      </c>
      <c r="N106" s="21"/>
    </row>
    <row r="107" s="3" customFormat="1" ht="52" spans="1:14">
      <c r="A107" s="27"/>
      <c r="B107" s="21"/>
      <c r="C107" s="22" t="s">
        <v>503</v>
      </c>
      <c r="D107" s="22" t="s">
        <v>504</v>
      </c>
      <c r="E107" s="23" t="s">
        <v>53</v>
      </c>
      <c r="F107" s="24" t="s">
        <v>505</v>
      </c>
      <c r="G107" s="24" t="s">
        <v>506</v>
      </c>
      <c r="H107" s="24" t="s">
        <v>507</v>
      </c>
      <c r="I107" s="24" t="s">
        <v>22</v>
      </c>
      <c r="J107" s="23" t="s">
        <v>508</v>
      </c>
      <c r="K107" s="23" t="s">
        <v>509</v>
      </c>
      <c r="L107" s="24" t="s">
        <v>15</v>
      </c>
      <c r="M107" s="25">
        <f t="shared" si="1"/>
        <v>1</v>
      </c>
      <c r="N107" s="21"/>
    </row>
    <row r="108" s="3" customFormat="1" ht="65" spans="1:14">
      <c r="A108" s="27"/>
      <c r="B108" s="21"/>
      <c r="C108" s="28"/>
      <c r="D108" s="28"/>
      <c r="E108" s="23" t="s">
        <v>53</v>
      </c>
      <c r="F108" s="24" t="s">
        <v>505</v>
      </c>
      <c r="G108" s="24" t="s">
        <v>510</v>
      </c>
      <c r="H108" s="24" t="s">
        <v>511</v>
      </c>
      <c r="I108" s="24" t="s">
        <v>26</v>
      </c>
      <c r="J108" s="23" t="s">
        <v>512</v>
      </c>
      <c r="K108" s="23" t="s">
        <v>513</v>
      </c>
      <c r="L108" s="24" t="s">
        <v>15</v>
      </c>
      <c r="M108" s="25">
        <f t="shared" si="1"/>
        <v>1</v>
      </c>
      <c r="N108" s="21"/>
    </row>
    <row r="109" s="3" customFormat="1" ht="52" spans="1:14">
      <c r="A109" s="27"/>
      <c r="B109" s="21"/>
      <c r="C109" s="28"/>
      <c r="D109" s="28"/>
      <c r="E109" s="23" t="s">
        <v>53</v>
      </c>
      <c r="F109" s="24" t="s">
        <v>505</v>
      </c>
      <c r="G109" s="24" t="s">
        <v>514</v>
      </c>
      <c r="H109" s="24" t="s">
        <v>515</v>
      </c>
      <c r="I109" s="24" t="s">
        <v>28</v>
      </c>
      <c r="J109" s="23" t="s">
        <v>516</v>
      </c>
      <c r="K109" s="23" t="s">
        <v>517</v>
      </c>
      <c r="L109" s="24" t="s">
        <v>15</v>
      </c>
      <c r="M109" s="25">
        <f t="shared" si="1"/>
        <v>1</v>
      </c>
      <c r="N109" s="21"/>
    </row>
    <row r="110" s="3" customFormat="1" ht="65" spans="1:14">
      <c r="A110" s="27"/>
      <c r="B110" s="21"/>
      <c r="C110" s="29"/>
      <c r="D110" s="29"/>
      <c r="E110" s="23" t="s">
        <v>53</v>
      </c>
      <c r="F110" s="24" t="s">
        <v>505</v>
      </c>
      <c r="G110" s="24" t="s">
        <v>518</v>
      </c>
      <c r="H110" s="24" t="s">
        <v>519</v>
      </c>
      <c r="I110" s="24" t="s">
        <v>24</v>
      </c>
      <c r="J110" s="23" t="s">
        <v>520</v>
      </c>
      <c r="K110" s="23" t="s">
        <v>521</v>
      </c>
      <c r="L110" s="24" t="s">
        <v>15</v>
      </c>
      <c r="M110" s="25">
        <f t="shared" si="1"/>
        <v>1</v>
      </c>
      <c r="N110" s="21"/>
    </row>
    <row r="111" s="3" customFormat="1" ht="39" spans="1:14">
      <c r="A111" s="27"/>
      <c r="B111" s="21" t="s">
        <v>522</v>
      </c>
      <c r="C111" s="22" t="s">
        <v>57</v>
      </c>
      <c r="D111" s="22" t="s">
        <v>523</v>
      </c>
      <c r="E111" s="23" t="s">
        <v>524</v>
      </c>
      <c r="F111" s="24" t="s">
        <v>525</v>
      </c>
      <c r="G111" s="24" t="s">
        <v>526</v>
      </c>
      <c r="H111" s="24" t="s">
        <v>527</v>
      </c>
      <c r="I111" s="24" t="s">
        <v>22</v>
      </c>
      <c r="J111" s="23" t="s">
        <v>528</v>
      </c>
      <c r="K111" s="23" t="s">
        <v>529</v>
      </c>
      <c r="L111" s="30" t="s">
        <v>15</v>
      </c>
      <c r="M111" s="25">
        <f t="shared" si="1"/>
        <v>1</v>
      </c>
      <c r="N111" s="21"/>
    </row>
    <row r="112" s="3" customFormat="1" ht="39" spans="1:14">
      <c r="A112" s="27"/>
      <c r="B112" s="21"/>
      <c r="C112" s="28"/>
      <c r="D112" s="28"/>
      <c r="E112" s="23" t="s">
        <v>524</v>
      </c>
      <c r="F112" s="24" t="s">
        <v>525</v>
      </c>
      <c r="G112" s="24" t="s">
        <v>530</v>
      </c>
      <c r="H112" s="24" t="s">
        <v>60</v>
      </c>
      <c r="I112" s="24" t="s">
        <v>26</v>
      </c>
      <c r="J112" s="23" t="s">
        <v>531</v>
      </c>
      <c r="K112" s="23" t="s">
        <v>532</v>
      </c>
      <c r="L112" s="30" t="s">
        <v>15</v>
      </c>
      <c r="M112" s="25">
        <f t="shared" si="1"/>
        <v>1</v>
      </c>
      <c r="N112" s="21"/>
    </row>
    <row r="113" s="3" customFormat="1" ht="39" spans="1:14">
      <c r="A113" s="27"/>
      <c r="B113" s="21"/>
      <c r="C113" s="28"/>
      <c r="D113" s="28"/>
      <c r="E113" s="23" t="s">
        <v>524</v>
      </c>
      <c r="F113" s="24" t="s">
        <v>525</v>
      </c>
      <c r="G113" s="24" t="s">
        <v>533</v>
      </c>
      <c r="H113" s="24" t="s">
        <v>534</v>
      </c>
      <c r="I113" s="24" t="s">
        <v>28</v>
      </c>
      <c r="J113" s="23" t="s">
        <v>65</v>
      </c>
      <c r="K113" s="23" t="s">
        <v>535</v>
      </c>
      <c r="L113" s="30" t="s">
        <v>15</v>
      </c>
      <c r="M113" s="25">
        <f t="shared" si="1"/>
        <v>1</v>
      </c>
      <c r="N113" s="21"/>
    </row>
    <row r="114" s="3" customFormat="1" ht="39" spans="1:14">
      <c r="A114" s="27"/>
      <c r="B114" s="21"/>
      <c r="C114" s="29"/>
      <c r="D114" s="29"/>
      <c r="E114" s="23" t="s">
        <v>524</v>
      </c>
      <c r="F114" s="24" t="s">
        <v>525</v>
      </c>
      <c r="G114" s="24" t="s">
        <v>536</v>
      </c>
      <c r="H114" s="24" t="s">
        <v>537</v>
      </c>
      <c r="I114" s="24" t="s">
        <v>24</v>
      </c>
      <c r="J114" s="23" t="s">
        <v>538</v>
      </c>
      <c r="K114" s="23" t="s">
        <v>539</v>
      </c>
      <c r="L114" s="30" t="s">
        <v>15</v>
      </c>
      <c r="M114" s="25">
        <f t="shared" si="1"/>
        <v>1</v>
      </c>
      <c r="N114" s="21"/>
    </row>
    <row r="115" s="3" customFormat="1" ht="39" spans="1:14">
      <c r="A115" s="27"/>
      <c r="B115" s="21"/>
      <c r="C115" s="22" t="s">
        <v>540</v>
      </c>
      <c r="D115" s="22" t="s">
        <v>541</v>
      </c>
      <c r="E115" s="23" t="s">
        <v>524</v>
      </c>
      <c r="F115" s="24" t="s">
        <v>542</v>
      </c>
      <c r="G115" s="24" t="s">
        <v>543</v>
      </c>
      <c r="H115" s="24" t="s">
        <v>544</v>
      </c>
      <c r="I115" s="24" t="s">
        <v>22</v>
      </c>
      <c r="J115" s="23" t="s">
        <v>545</v>
      </c>
      <c r="K115" s="23" t="s">
        <v>546</v>
      </c>
      <c r="L115" s="30" t="s">
        <v>15</v>
      </c>
      <c r="M115" s="25">
        <f t="shared" si="1"/>
        <v>1</v>
      </c>
      <c r="N115" s="21"/>
    </row>
    <row r="116" s="3" customFormat="1" ht="39" spans="1:14">
      <c r="A116" s="27"/>
      <c r="B116" s="21"/>
      <c r="C116" s="28"/>
      <c r="D116" s="28"/>
      <c r="E116" s="23" t="s">
        <v>524</v>
      </c>
      <c r="F116" s="24" t="s">
        <v>542</v>
      </c>
      <c r="G116" s="24" t="s">
        <v>547</v>
      </c>
      <c r="H116" s="24" t="s">
        <v>548</v>
      </c>
      <c r="I116" s="24" t="s">
        <v>26</v>
      </c>
      <c r="J116" s="23" t="s">
        <v>549</v>
      </c>
      <c r="K116" s="23" t="s">
        <v>550</v>
      </c>
      <c r="L116" s="30" t="s">
        <v>15</v>
      </c>
      <c r="M116" s="25">
        <f t="shared" si="1"/>
        <v>1</v>
      </c>
      <c r="N116" s="21"/>
    </row>
    <row r="117" s="3" customFormat="1" ht="39" spans="1:14">
      <c r="A117" s="27"/>
      <c r="B117" s="21"/>
      <c r="C117" s="28"/>
      <c r="D117" s="28"/>
      <c r="E117" s="23" t="s">
        <v>524</v>
      </c>
      <c r="F117" s="24" t="s">
        <v>542</v>
      </c>
      <c r="G117" s="24" t="s">
        <v>551</v>
      </c>
      <c r="H117" s="24" t="s">
        <v>552</v>
      </c>
      <c r="I117" s="24" t="s">
        <v>28</v>
      </c>
      <c r="J117" s="23" t="s">
        <v>553</v>
      </c>
      <c r="K117" s="23" t="s">
        <v>554</v>
      </c>
      <c r="L117" s="30" t="s">
        <v>15</v>
      </c>
      <c r="M117" s="25">
        <f t="shared" si="1"/>
        <v>1</v>
      </c>
      <c r="N117" s="21"/>
    </row>
    <row r="118" s="3" customFormat="1" ht="39" spans="1:14">
      <c r="A118" s="27"/>
      <c r="B118" s="21"/>
      <c r="C118" s="29"/>
      <c r="D118" s="29"/>
      <c r="E118" s="23" t="s">
        <v>524</v>
      </c>
      <c r="F118" s="24" t="s">
        <v>542</v>
      </c>
      <c r="G118" s="24" t="s">
        <v>555</v>
      </c>
      <c r="H118" s="24" t="s">
        <v>556</v>
      </c>
      <c r="I118" s="24" t="s">
        <v>24</v>
      </c>
      <c r="J118" s="23" t="s">
        <v>557</v>
      </c>
      <c r="K118" s="23" t="s">
        <v>558</v>
      </c>
      <c r="L118" s="30" t="s">
        <v>15</v>
      </c>
      <c r="M118" s="25">
        <f t="shared" si="1"/>
        <v>1</v>
      </c>
      <c r="N118" s="21"/>
    </row>
    <row r="119" s="3" customFormat="1" ht="39" spans="1:14">
      <c r="A119" s="27"/>
      <c r="B119" s="21"/>
      <c r="C119" s="22" t="s">
        <v>559</v>
      </c>
      <c r="D119" s="22" t="s">
        <v>560</v>
      </c>
      <c r="E119" s="23" t="s">
        <v>524</v>
      </c>
      <c r="F119" s="24" t="s">
        <v>561</v>
      </c>
      <c r="G119" s="24" t="s">
        <v>562</v>
      </c>
      <c r="H119" s="24" t="s">
        <v>563</v>
      </c>
      <c r="I119" s="24" t="s">
        <v>22</v>
      </c>
      <c r="J119" s="23" t="s">
        <v>559</v>
      </c>
      <c r="K119" s="23" t="s">
        <v>564</v>
      </c>
      <c r="L119" s="30" t="s">
        <v>15</v>
      </c>
      <c r="M119" s="25">
        <f t="shared" si="1"/>
        <v>1</v>
      </c>
      <c r="N119" s="21"/>
    </row>
    <row r="120" s="3" customFormat="1" ht="39" spans="1:14">
      <c r="A120" s="27"/>
      <c r="B120" s="21"/>
      <c r="C120" s="28"/>
      <c r="D120" s="28"/>
      <c r="E120" s="23" t="s">
        <v>524</v>
      </c>
      <c r="F120" s="24" t="s">
        <v>561</v>
      </c>
      <c r="G120" s="24" t="s">
        <v>565</v>
      </c>
      <c r="H120" s="24" t="s">
        <v>566</v>
      </c>
      <c r="I120" s="24" t="s">
        <v>26</v>
      </c>
      <c r="J120" s="23" t="s">
        <v>567</v>
      </c>
      <c r="K120" s="23" t="s">
        <v>568</v>
      </c>
      <c r="L120" s="30" t="s">
        <v>15</v>
      </c>
      <c r="M120" s="25">
        <f t="shared" si="1"/>
        <v>1</v>
      </c>
      <c r="N120" s="21"/>
    </row>
    <row r="121" s="3" customFormat="1" ht="39" spans="1:14">
      <c r="A121" s="27"/>
      <c r="B121" s="21"/>
      <c r="C121" s="28"/>
      <c r="D121" s="28"/>
      <c r="E121" s="23" t="s">
        <v>524</v>
      </c>
      <c r="F121" s="24" t="s">
        <v>561</v>
      </c>
      <c r="G121" s="24" t="s">
        <v>569</v>
      </c>
      <c r="H121" s="24" t="s">
        <v>570</v>
      </c>
      <c r="I121" s="24" t="s">
        <v>28</v>
      </c>
      <c r="J121" s="23" t="s">
        <v>571</v>
      </c>
      <c r="K121" s="23" t="s">
        <v>572</v>
      </c>
      <c r="L121" s="30" t="s">
        <v>15</v>
      </c>
      <c r="M121" s="25">
        <f t="shared" si="1"/>
        <v>1</v>
      </c>
      <c r="N121" s="21"/>
    </row>
    <row r="122" s="3" customFormat="1" ht="39" spans="1:14">
      <c r="A122" s="27"/>
      <c r="B122" s="21"/>
      <c r="C122" s="29"/>
      <c r="D122" s="29"/>
      <c r="E122" s="23" t="s">
        <v>524</v>
      </c>
      <c r="F122" s="24" t="s">
        <v>561</v>
      </c>
      <c r="G122" s="24" t="s">
        <v>573</v>
      </c>
      <c r="H122" s="24" t="s">
        <v>574</v>
      </c>
      <c r="I122" s="24" t="s">
        <v>24</v>
      </c>
      <c r="J122" s="23" t="s">
        <v>575</v>
      </c>
      <c r="K122" s="23" t="s">
        <v>576</v>
      </c>
      <c r="L122" s="30" t="s">
        <v>15</v>
      </c>
      <c r="M122" s="25">
        <f t="shared" si="1"/>
        <v>1</v>
      </c>
      <c r="N122" s="21"/>
    </row>
    <row r="123" s="3" customFormat="1" ht="39" spans="1:14">
      <c r="A123" s="27"/>
      <c r="B123" s="21"/>
      <c r="C123" s="22" t="s">
        <v>577</v>
      </c>
      <c r="D123" s="22" t="s">
        <v>578</v>
      </c>
      <c r="E123" s="23" t="s">
        <v>524</v>
      </c>
      <c r="F123" s="24" t="s">
        <v>579</v>
      </c>
      <c r="G123" s="24" t="s">
        <v>580</v>
      </c>
      <c r="H123" s="24" t="s">
        <v>581</v>
      </c>
      <c r="I123" s="24" t="s">
        <v>22</v>
      </c>
      <c r="J123" s="23" t="s">
        <v>582</v>
      </c>
      <c r="K123" s="23" t="s">
        <v>583</v>
      </c>
      <c r="L123" s="30" t="s">
        <v>15</v>
      </c>
      <c r="M123" s="25">
        <f t="shared" si="1"/>
        <v>1</v>
      </c>
      <c r="N123" s="21"/>
    </row>
    <row r="124" s="3" customFormat="1" ht="39" spans="1:14">
      <c r="A124" s="27"/>
      <c r="B124" s="21"/>
      <c r="C124" s="28"/>
      <c r="D124" s="28"/>
      <c r="E124" s="23" t="s">
        <v>524</v>
      </c>
      <c r="F124" s="24" t="s">
        <v>579</v>
      </c>
      <c r="G124" s="24" t="s">
        <v>584</v>
      </c>
      <c r="H124" s="24" t="s">
        <v>585</v>
      </c>
      <c r="I124" s="24" t="s">
        <v>26</v>
      </c>
      <c r="J124" s="23" t="s">
        <v>586</v>
      </c>
      <c r="K124" s="23" t="s">
        <v>587</v>
      </c>
      <c r="L124" s="30" t="s">
        <v>15</v>
      </c>
      <c r="M124" s="25">
        <f t="shared" si="1"/>
        <v>1</v>
      </c>
      <c r="N124" s="21"/>
    </row>
    <row r="125" s="3" customFormat="1" ht="39" spans="1:14">
      <c r="A125" s="27"/>
      <c r="B125" s="21"/>
      <c r="C125" s="28"/>
      <c r="D125" s="28"/>
      <c r="E125" s="23" t="s">
        <v>524</v>
      </c>
      <c r="F125" s="24" t="s">
        <v>579</v>
      </c>
      <c r="G125" s="24" t="s">
        <v>588</v>
      </c>
      <c r="H125" s="24" t="s">
        <v>589</v>
      </c>
      <c r="I125" s="24" t="s">
        <v>28</v>
      </c>
      <c r="J125" s="23" t="s">
        <v>590</v>
      </c>
      <c r="K125" s="23" t="s">
        <v>591</v>
      </c>
      <c r="L125" s="30" t="s">
        <v>15</v>
      </c>
      <c r="M125" s="25">
        <f t="shared" si="1"/>
        <v>1</v>
      </c>
      <c r="N125" s="21"/>
    </row>
    <row r="126" s="3" customFormat="1" ht="39" spans="1:14">
      <c r="A126" s="27"/>
      <c r="B126" s="21"/>
      <c r="C126" s="29"/>
      <c r="D126" s="29"/>
      <c r="E126" s="23" t="s">
        <v>524</v>
      </c>
      <c r="F126" s="24" t="s">
        <v>579</v>
      </c>
      <c r="G126" s="24" t="s">
        <v>592</v>
      </c>
      <c r="H126" s="24" t="s">
        <v>593</v>
      </c>
      <c r="I126" s="24" t="s">
        <v>24</v>
      </c>
      <c r="J126" s="23" t="s">
        <v>594</v>
      </c>
      <c r="K126" s="23" t="s">
        <v>595</v>
      </c>
      <c r="L126" s="30" t="s">
        <v>15</v>
      </c>
      <c r="M126" s="25">
        <f t="shared" si="1"/>
        <v>1</v>
      </c>
      <c r="N126" s="21"/>
    </row>
    <row r="127" s="3" customFormat="1" ht="39" spans="1:14">
      <c r="A127" s="27"/>
      <c r="B127" s="21"/>
      <c r="C127" s="22" t="s">
        <v>596</v>
      </c>
      <c r="D127" s="22" t="s">
        <v>597</v>
      </c>
      <c r="E127" s="23" t="s">
        <v>524</v>
      </c>
      <c r="F127" s="24" t="s">
        <v>598</v>
      </c>
      <c r="G127" s="24" t="s">
        <v>599</v>
      </c>
      <c r="H127" s="24" t="s">
        <v>600</v>
      </c>
      <c r="I127" s="24" t="s">
        <v>22</v>
      </c>
      <c r="J127" s="23" t="s">
        <v>601</v>
      </c>
      <c r="K127" s="23" t="s">
        <v>602</v>
      </c>
      <c r="L127" s="30" t="s">
        <v>15</v>
      </c>
      <c r="M127" s="25">
        <f t="shared" ref="M127:M186" si="2">IF(L127="新增",1,IF(L127="复用",1/3,0))</f>
        <v>1</v>
      </c>
      <c r="N127" s="21"/>
    </row>
    <row r="128" s="3" customFormat="1" ht="39" spans="1:14">
      <c r="A128" s="27"/>
      <c r="B128" s="21"/>
      <c r="C128" s="28"/>
      <c r="D128" s="28"/>
      <c r="E128" s="23" t="s">
        <v>524</v>
      </c>
      <c r="F128" s="24" t="s">
        <v>598</v>
      </c>
      <c r="G128" s="24" t="s">
        <v>603</v>
      </c>
      <c r="H128" s="24" t="s">
        <v>604</v>
      </c>
      <c r="I128" s="24" t="s">
        <v>26</v>
      </c>
      <c r="J128" s="23" t="s">
        <v>605</v>
      </c>
      <c r="K128" s="23" t="s">
        <v>606</v>
      </c>
      <c r="L128" s="30" t="s">
        <v>15</v>
      </c>
      <c r="M128" s="25">
        <f t="shared" si="2"/>
        <v>1</v>
      </c>
      <c r="N128" s="21"/>
    </row>
    <row r="129" s="3" customFormat="1" ht="39" spans="1:14">
      <c r="A129" s="27"/>
      <c r="B129" s="21"/>
      <c r="C129" s="28"/>
      <c r="D129" s="28"/>
      <c r="E129" s="23" t="s">
        <v>524</v>
      </c>
      <c r="F129" s="24" t="s">
        <v>598</v>
      </c>
      <c r="G129" s="24" t="s">
        <v>607</v>
      </c>
      <c r="H129" s="24" t="s">
        <v>608</v>
      </c>
      <c r="I129" s="24" t="s">
        <v>28</v>
      </c>
      <c r="J129" s="23" t="s">
        <v>609</v>
      </c>
      <c r="K129" s="23" t="s">
        <v>610</v>
      </c>
      <c r="L129" s="30" t="s">
        <v>15</v>
      </c>
      <c r="M129" s="25">
        <f t="shared" si="2"/>
        <v>1</v>
      </c>
      <c r="N129" s="21"/>
    </row>
    <row r="130" s="3" customFormat="1" ht="39" spans="1:14">
      <c r="A130" s="27"/>
      <c r="B130" s="21"/>
      <c r="C130" s="29"/>
      <c r="D130" s="29"/>
      <c r="E130" s="23" t="s">
        <v>524</v>
      </c>
      <c r="F130" s="24" t="s">
        <v>598</v>
      </c>
      <c r="G130" s="24" t="s">
        <v>611</v>
      </c>
      <c r="H130" s="24" t="s">
        <v>612</v>
      </c>
      <c r="I130" s="24" t="s">
        <v>24</v>
      </c>
      <c r="J130" s="23" t="s">
        <v>613</v>
      </c>
      <c r="K130" s="23" t="s">
        <v>614</v>
      </c>
      <c r="L130" s="30" t="s">
        <v>15</v>
      </c>
      <c r="M130" s="25">
        <f t="shared" si="2"/>
        <v>1</v>
      </c>
      <c r="N130" s="21"/>
    </row>
    <row r="131" s="3" customFormat="1" ht="39" spans="1:14">
      <c r="A131" s="27"/>
      <c r="B131" s="21"/>
      <c r="C131" s="22" t="s">
        <v>615</v>
      </c>
      <c r="D131" s="22" t="s">
        <v>310</v>
      </c>
      <c r="E131" s="23" t="s">
        <v>524</v>
      </c>
      <c r="F131" s="24" t="s">
        <v>616</v>
      </c>
      <c r="G131" s="24" t="s">
        <v>617</v>
      </c>
      <c r="H131" s="24" t="s">
        <v>618</v>
      </c>
      <c r="I131" s="24" t="s">
        <v>22</v>
      </c>
      <c r="J131" s="23" t="s">
        <v>314</v>
      </c>
      <c r="K131" s="23" t="s">
        <v>619</v>
      </c>
      <c r="L131" s="30" t="s">
        <v>15</v>
      </c>
      <c r="M131" s="25">
        <f t="shared" si="2"/>
        <v>1</v>
      </c>
      <c r="N131" s="21"/>
    </row>
    <row r="132" s="3" customFormat="1" ht="39" spans="1:14">
      <c r="A132" s="27"/>
      <c r="B132" s="21"/>
      <c r="C132" s="28"/>
      <c r="D132" s="28"/>
      <c r="E132" s="23" t="s">
        <v>524</v>
      </c>
      <c r="F132" s="24" t="s">
        <v>616</v>
      </c>
      <c r="G132" s="24" t="s">
        <v>620</v>
      </c>
      <c r="H132" s="24" t="s">
        <v>621</v>
      </c>
      <c r="I132" s="24" t="s">
        <v>26</v>
      </c>
      <c r="J132" s="23" t="s">
        <v>622</v>
      </c>
      <c r="K132" s="23" t="s">
        <v>623</v>
      </c>
      <c r="L132" s="30" t="s">
        <v>15</v>
      </c>
      <c r="M132" s="25">
        <f t="shared" si="2"/>
        <v>1</v>
      </c>
      <c r="N132" s="21"/>
    </row>
    <row r="133" s="3" customFormat="1" ht="39" spans="1:14">
      <c r="A133" s="27"/>
      <c r="B133" s="21"/>
      <c r="C133" s="28"/>
      <c r="D133" s="28"/>
      <c r="E133" s="23" t="s">
        <v>524</v>
      </c>
      <c r="F133" s="24" t="s">
        <v>616</v>
      </c>
      <c r="G133" s="24" t="s">
        <v>624</v>
      </c>
      <c r="H133" s="24" t="s">
        <v>625</v>
      </c>
      <c r="I133" s="24" t="s">
        <v>28</v>
      </c>
      <c r="J133" s="23" t="s">
        <v>626</v>
      </c>
      <c r="K133" s="23" t="s">
        <v>627</v>
      </c>
      <c r="L133" s="30" t="s">
        <v>15</v>
      </c>
      <c r="M133" s="25">
        <f t="shared" si="2"/>
        <v>1</v>
      </c>
      <c r="N133" s="21"/>
    </row>
    <row r="134" s="3" customFormat="1" ht="39" spans="1:14">
      <c r="A134" s="27"/>
      <c r="B134" s="21"/>
      <c r="C134" s="29"/>
      <c r="D134" s="29"/>
      <c r="E134" s="23" t="s">
        <v>524</v>
      </c>
      <c r="F134" s="24" t="s">
        <v>616</v>
      </c>
      <c r="G134" s="24" t="s">
        <v>628</v>
      </c>
      <c r="H134" s="24" t="s">
        <v>325</v>
      </c>
      <c r="I134" s="24" t="s">
        <v>24</v>
      </c>
      <c r="J134" s="23" t="s">
        <v>629</v>
      </c>
      <c r="K134" s="23" t="s">
        <v>630</v>
      </c>
      <c r="L134" s="30" t="s">
        <v>15</v>
      </c>
      <c r="M134" s="25">
        <f t="shared" si="2"/>
        <v>1</v>
      </c>
      <c r="N134" s="21"/>
    </row>
    <row r="135" s="3" customFormat="1" ht="39" spans="1:14">
      <c r="A135" s="27"/>
      <c r="B135" s="21"/>
      <c r="C135" s="22" t="s">
        <v>631</v>
      </c>
      <c r="D135" s="22" t="s">
        <v>631</v>
      </c>
      <c r="E135" s="23" t="s">
        <v>524</v>
      </c>
      <c r="F135" s="24" t="s">
        <v>632</v>
      </c>
      <c r="G135" s="24" t="s">
        <v>633</v>
      </c>
      <c r="H135" s="24" t="s">
        <v>634</v>
      </c>
      <c r="I135" s="24" t="s">
        <v>22</v>
      </c>
      <c r="J135" s="23" t="s">
        <v>635</v>
      </c>
      <c r="K135" s="23" t="s">
        <v>636</v>
      </c>
      <c r="L135" s="30" t="s">
        <v>15</v>
      </c>
      <c r="M135" s="25">
        <f t="shared" si="2"/>
        <v>1</v>
      </c>
      <c r="N135" s="21"/>
    </row>
    <row r="136" s="3" customFormat="1" ht="39" spans="1:14">
      <c r="A136" s="27"/>
      <c r="B136" s="21"/>
      <c r="C136" s="28"/>
      <c r="D136" s="28"/>
      <c r="E136" s="23" t="s">
        <v>524</v>
      </c>
      <c r="F136" s="24" t="s">
        <v>632</v>
      </c>
      <c r="G136" s="24" t="s">
        <v>637</v>
      </c>
      <c r="H136" s="24" t="s">
        <v>638</v>
      </c>
      <c r="I136" s="24" t="s">
        <v>26</v>
      </c>
      <c r="J136" s="23" t="s">
        <v>639</v>
      </c>
      <c r="K136" s="23" t="s">
        <v>640</v>
      </c>
      <c r="L136" s="30" t="s">
        <v>15</v>
      </c>
      <c r="M136" s="25">
        <f t="shared" si="2"/>
        <v>1</v>
      </c>
      <c r="N136" s="21"/>
    </row>
    <row r="137" s="3" customFormat="1" ht="39" spans="1:14">
      <c r="A137" s="27"/>
      <c r="B137" s="21"/>
      <c r="C137" s="28"/>
      <c r="D137" s="28"/>
      <c r="E137" s="23" t="s">
        <v>524</v>
      </c>
      <c r="F137" s="24" t="s">
        <v>632</v>
      </c>
      <c r="G137" s="24" t="s">
        <v>641</v>
      </c>
      <c r="H137" s="24" t="s">
        <v>642</v>
      </c>
      <c r="I137" s="24" t="s">
        <v>28</v>
      </c>
      <c r="J137" s="23" t="s">
        <v>643</v>
      </c>
      <c r="K137" s="23" t="s">
        <v>644</v>
      </c>
      <c r="L137" s="30" t="s">
        <v>15</v>
      </c>
      <c r="M137" s="25">
        <f t="shared" si="2"/>
        <v>1</v>
      </c>
      <c r="N137" s="21"/>
    </row>
    <row r="138" s="3" customFormat="1" ht="39" spans="1:14">
      <c r="A138" s="27"/>
      <c r="B138" s="21"/>
      <c r="C138" s="29"/>
      <c r="D138" s="29"/>
      <c r="E138" s="23" t="s">
        <v>524</v>
      </c>
      <c r="F138" s="24" t="s">
        <v>632</v>
      </c>
      <c r="G138" s="24" t="s">
        <v>645</v>
      </c>
      <c r="H138" s="24" t="s">
        <v>646</v>
      </c>
      <c r="I138" s="24" t="s">
        <v>24</v>
      </c>
      <c r="J138" s="23" t="s">
        <v>647</v>
      </c>
      <c r="K138" s="23" t="s">
        <v>648</v>
      </c>
      <c r="L138" s="30" t="s">
        <v>15</v>
      </c>
      <c r="M138" s="25">
        <f t="shared" si="2"/>
        <v>1</v>
      </c>
      <c r="N138" s="21"/>
    </row>
    <row r="139" s="3" customFormat="1" ht="39" spans="1:14">
      <c r="A139" s="27"/>
      <c r="B139" s="21"/>
      <c r="C139" s="22" t="s">
        <v>649</v>
      </c>
      <c r="D139" s="22" t="s">
        <v>650</v>
      </c>
      <c r="E139" s="23" t="s">
        <v>651</v>
      </c>
      <c r="F139" s="24" t="s">
        <v>652</v>
      </c>
      <c r="G139" s="24" t="s">
        <v>653</v>
      </c>
      <c r="H139" s="24" t="s">
        <v>654</v>
      </c>
      <c r="I139" s="24" t="s">
        <v>22</v>
      </c>
      <c r="J139" s="23" t="s">
        <v>655</v>
      </c>
      <c r="K139" s="23" t="s">
        <v>656</v>
      </c>
      <c r="L139" s="24" t="s">
        <v>15</v>
      </c>
      <c r="M139" s="25">
        <f t="shared" si="2"/>
        <v>1</v>
      </c>
      <c r="N139" s="21"/>
    </row>
    <row r="140" s="3" customFormat="1" ht="39" spans="1:14">
      <c r="A140" s="27"/>
      <c r="B140" s="21"/>
      <c r="C140" s="28"/>
      <c r="D140" s="28"/>
      <c r="E140" s="23" t="s">
        <v>651</v>
      </c>
      <c r="F140" s="24" t="s">
        <v>652</v>
      </c>
      <c r="G140" s="24" t="s">
        <v>657</v>
      </c>
      <c r="H140" s="24" t="s">
        <v>658</v>
      </c>
      <c r="I140" s="24" t="s">
        <v>26</v>
      </c>
      <c r="J140" s="23" t="s">
        <v>659</v>
      </c>
      <c r="K140" s="23" t="s">
        <v>660</v>
      </c>
      <c r="L140" s="24" t="s">
        <v>15</v>
      </c>
      <c r="M140" s="25">
        <f t="shared" si="2"/>
        <v>1</v>
      </c>
      <c r="N140" s="21"/>
    </row>
    <row r="141" s="3" customFormat="1" ht="39" spans="1:14">
      <c r="A141" s="27"/>
      <c r="B141" s="21"/>
      <c r="C141" s="28"/>
      <c r="D141" s="28"/>
      <c r="E141" s="23" t="s">
        <v>651</v>
      </c>
      <c r="F141" s="24" t="s">
        <v>652</v>
      </c>
      <c r="G141" s="24" t="s">
        <v>661</v>
      </c>
      <c r="H141" s="24" t="s">
        <v>662</v>
      </c>
      <c r="I141" s="24" t="s">
        <v>28</v>
      </c>
      <c r="J141" s="23" t="s">
        <v>663</v>
      </c>
      <c r="K141" s="23" t="s">
        <v>664</v>
      </c>
      <c r="L141" s="24" t="s">
        <v>15</v>
      </c>
      <c r="M141" s="25">
        <f t="shared" si="2"/>
        <v>1</v>
      </c>
      <c r="N141" s="21"/>
    </row>
    <row r="142" s="3" customFormat="1" ht="39" spans="1:14">
      <c r="A142" s="27"/>
      <c r="B142" s="21"/>
      <c r="C142" s="29"/>
      <c r="D142" s="29"/>
      <c r="E142" s="23" t="s">
        <v>651</v>
      </c>
      <c r="F142" s="24" t="s">
        <v>652</v>
      </c>
      <c r="G142" s="24" t="s">
        <v>665</v>
      </c>
      <c r="H142" s="24" t="s">
        <v>666</v>
      </c>
      <c r="I142" s="24" t="s">
        <v>24</v>
      </c>
      <c r="J142" s="23" t="s">
        <v>667</v>
      </c>
      <c r="K142" s="23" t="s">
        <v>668</v>
      </c>
      <c r="L142" s="24" t="s">
        <v>15</v>
      </c>
      <c r="M142" s="25">
        <f t="shared" si="2"/>
        <v>1</v>
      </c>
      <c r="N142" s="21"/>
    </row>
    <row r="143" s="3" customFormat="1" ht="39" spans="1:14">
      <c r="A143" s="27"/>
      <c r="B143" s="21"/>
      <c r="C143" s="22" t="s">
        <v>669</v>
      </c>
      <c r="D143" s="22" t="s">
        <v>670</v>
      </c>
      <c r="E143" s="23" t="s">
        <v>651</v>
      </c>
      <c r="F143" s="24" t="s">
        <v>671</v>
      </c>
      <c r="G143" s="24" t="s">
        <v>672</v>
      </c>
      <c r="H143" s="24" t="s">
        <v>673</v>
      </c>
      <c r="I143" s="24" t="s">
        <v>22</v>
      </c>
      <c r="J143" s="23" t="s">
        <v>674</v>
      </c>
      <c r="K143" s="23" t="s">
        <v>675</v>
      </c>
      <c r="L143" s="24" t="s">
        <v>15</v>
      </c>
      <c r="M143" s="25">
        <f t="shared" si="2"/>
        <v>1</v>
      </c>
      <c r="N143" s="21"/>
    </row>
    <row r="144" s="3" customFormat="1" ht="39" spans="1:14">
      <c r="A144" s="27"/>
      <c r="B144" s="21"/>
      <c r="C144" s="28"/>
      <c r="D144" s="28"/>
      <c r="E144" s="23" t="s">
        <v>651</v>
      </c>
      <c r="F144" s="24" t="s">
        <v>671</v>
      </c>
      <c r="G144" s="24" t="s">
        <v>676</v>
      </c>
      <c r="H144" s="24" t="s">
        <v>677</v>
      </c>
      <c r="I144" s="24" t="s">
        <v>26</v>
      </c>
      <c r="J144" s="23" t="s">
        <v>678</v>
      </c>
      <c r="K144" s="23" t="s">
        <v>679</v>
      </c>
      <c r="L144" s="24" t="s">
        <v>15</v>
      </c>
      <c r="M144" s="25">
        <f t="shared" si="2"/>
        <v>1</v>
      </c>
      <c r="N144" s="21"/>
    </row>
    <row r="145" s="3" customFormat="1" ht="39" spans="1:14">
      <c r="A145" s="27"/>
      <c r="B145" s="21"/>
      <c r="C145" s="28"/>
      <c r="D145" s="28"/>
      <c r="E145" s="23" t="s">
        <v>651</v>
      </c>
      <c r="F145" s="24" t="s">
        <v>671</v>
      </c>
      <c r="G145" s="24" t="s">
        <v>680</v>
      </c>
      <c r="H145" s="24" t="s">
        <v>681</v>
      </c>
      <c r="I145" s="24" t="s">
        <v>28</v>
      </c>
      <c r="J145" s="23" t="s">
        <v>682</v>
      </c>
      <c r="K145" s="23" t="s">
        <v>683</v>
      </c>
      <c r="L145" s="24" t="s">
        <v>15</v>
      </c>
      <c r="M145" s="25">
        <f t="shared" si="2"/>
        <v>1</v>
      </c>
      <c r="N145" s="21"/>
    </row>
    <row r="146" s="3" customFormat="1" ht="39" spans="1:14">
      <c r="A146" s="27"/>
      <c r="B146" s="21"/>
      <c r="C146" s="29"/>
      <c r="D146" s="29"/>
      <c r="E146" s="23" t="s">
        <v>651</v>
      </c>
      <c r="F146" s="24" t="s">
        <v>671</v>
      </c>
      <c r="G146" s="24" t="s">
        <v>684</v>
      </c>
      <c r="H146" s="24" t="s">
        <v>685</v>
      </c>
      <c r="I146" s="24" t="s">
        <v>24</v>
      </c>
      <c r="J146" s="23" t="s">
        <v>686</v>
      </c>
      <c r="K146" s="23" t="s">
        <v>687</v>
      </c>
      <c r="L146" s="24" t="s">
        <v>15</v>
      </c>
      <c r="M146" s="25">
        <f t="shared" si="2"/>
        <v>1</v>
      </c>
      <c r="N146" s="21"/>
    </row>
    <row r="147" s="3" customFormat="1" ht="39" spans="1:14">
      <c r="A147" s="27"/>
      <c r="B147" s="21"/>
      <c r="C147" s="22" t="s">
        <v>688</v>
      </c>
      <c r="D147" s="22" t="s">
        <v>689</v>
      </c>
      <c r="E147" s="23" t="s">
        <v>651</v>
      </c>
      <c r="F147" s="24" t="s">
        <v>690</v>
      </c>
      <c r="G147" s="24" t="s">
        <v>691</v>
      </c>
      <c r="H147" s="24" t="s">
        <v>692</v>
      </c>
      <c r="I147" s="24" t="s">
        <v>22</v>
      </c>
      <c r="J147" s="23" t="s">
        <v>693</v>
      </c>
      <c r="K147" s="23" t="s">
        <v>694</v>
      </c>
      <c r="L147" s="24" t="s">
        <v>15</v>
      </c>
      <c r="M147" s="25">
        <f t="shared" si="2"/>
        <v>1</v>
      </c>
      <c r="N147" s="21"/>
    </row>
    <row r="148" s="3" customFormat="1" ht="39" spans="1:14">
      <c r="A148" s="27"/>
      <c r="B148" s="21"/>
      <c r="C148" s="28"/>
      <c r="D148" s="28"/>
      <c r="E148" s="23" t="s">
        <v>651</v>
      </c>
      <c r="F148" s="24" t="s">
        <v>690</v>
      </c>
      <c r="G148" s="24" t="s">
        <v>695</v>
      </c>
      <c r="H148" s="24" t="s">
        <v>696</v>
      </c>
      <c r="I148" s="24" t="s">
        <v>26</v>
      </c>
      <c r="J148" s="23" t="s">
        <v>697</v>
      </c>
      <c r="K148" s="23" t="s">
        <v>698</v>
      </c>
      <c r="L148" s="24" t="s">
        <v>15</v>
      </c>
      <c r="M148" s="25">
        <f t="shared" si="2"/>
        <v>1</v>
      </c>
      <c r="N148" s="21"/>
    </row>
    <row r="149" s="3" customFormat="1" ht="39" spans="1:14">
      <c r="A149" s="27"/>
      <c r="B149" s="21"/>
      <c r="C149" s="28"/>
      <c r="D149" s="28"/>
      <c r="E149" s="23" t="s">
        <v>651</v>
      </c>
      <c r="F149" s="24" t="s">
        <v>690</v>
      </c>
      <c r="G149" s="24" t="s">
        <v>699</v>
      </c>
      <c r="H149" s="24" t="s">
        <v>700</v>
      </c>
      <c r="I149" s="24" t="s">
        <v>28</v>
      </c>
      <c r="J149" s="23" t="s">
        <v>701</v>
      </c>
      <c r="K149" s="23" t="s">
        <v>702</v>
      </c>
      <c r="L149" s="24" t="s">
        <v>15</v>
      </c>
      <c r="M149" s="25">
        <f t="shared" si="2"/>
        <v>1</v>
      </c>
      <c r="N149" s="21"/>
    </row>
    <row r="150" s="3" customFormat="1" ht="39" spans="1:14">
      <c r="A150" s="27"/>
      <c r="B150" s="21"/>
      <c r="C150" s="29"/>
      <c r="D150" s="29"/>
      <c r="E150" s="23" t="s">
        <v>651</v>
      </c>
      <c r="F150" s="24" t="s">
        <v>690</v>
      </c>
      <c r="G150" s="24" t="s">
        <v>703</v>
      </c>
      <c r="H150" s="24" t="s">
        <v>704</v>
      </c>
      <c r="I150" s="24" t="s">
        <v>24</v>
      </c>
      <c r="J150" s="23" t="s">
        <v>705</v>
      </c>
      <c r="K150" s="23" t="s">
        <v>706</v>
      </c>
      <c r="L150" s="24" t="s">
        <v>15</v>
      </c>
      <c r="M150" s="25">
        <f t="shared" si="2"/>
        <v>1</v>
      </c>
      <c r="N150" s="21"/>
    </row>
    <row r="151" s="3" customFormat="1" ht="39" spans="1:14">
      <c r="A151" s="27"/>
      <c r="B151" s="21"/>
      <c r="C151" s="22" t="s">
        <v>707</v>
      </c>
      <c r="D151" s="22" t="s">
        <v>708</v>
      </c>
      <c r="E151" s="23" t="s">
        <v>651</v>
      </c>
      <c r="F151" s="24" t="s">
        <v>709</v>
      </c>
      <c r="G151" s="24" t="s">
        <v>710</v>
      </c>
      <c r="H151" s="24" t="s">
        <v>711</v>
      </c>
      <c r="I151" s="24" t="s">
        <v>22</v>
      </c>
      <c r="J151" s="23" t="s">
        <v>712</v>
      </c>
      <c r="K151" s="23" t="s">
        <v>713</v>
      </c>
      <c r="L151" s="24" t="s">
        <v>15</v>
      </c>
      <c r="M151" s="25">
        <f t="shared" si="2"/>
        <v>1</v>
      </c>
      <c r="N151" s="21"/>
    </row>
    <row r="152" s="3" customFormat="1" ht="39" spans="1:14">
      <c r="A152" s="27"/>
      <c r="B152" s="21"/>
      <c r="C152" s="28"/>
      <c r="D152" s="28"/>
      <c r="E152" s="23" t="s">
        <v>651</v>
      </c>
      <c r="F152" s="24" t="s">
        <v>709</v>
      </c>
      <c r="G152" s="24" t="s">
        <v>714</v>
      </c>
      <c r="H152" s="24" t="s">
        <v>715</v>
      </c>
      <c r="I152" s="24" t="s">
        <v>26</v>
      </c>
      <c r="J152" s="23" t="s">
        <v>716</v>
      </c>
      <c r="K152" s="23" t="s">
        <v>717</v>
      </c>
      <c r="L152" s="24" t="s">
        <v>15</v>
      </c>
      <c r="M152" s="25">
        <f t="shared" si="2"/>
        <v>1</v>
      </c>
      <c r="N152" s="21"/>
    </row>
    <row r="153" s="3" customFormat="1" ht="39" spans="1:14">
      <c r="A153" s="27"/>
      <c r="B153" s="21"/>
      <c r="C153" s="28"/>
      <c r="D153" s="28"/>
      <c r="E153" s="23" t="s">
        <v>651</v>
      </c>
      <c r="F153" s="24" t="s">
        <v>709</v>
      </c>
      <c r="G153" s="24" t="s">
        <v>718</v>
      </c>
      <c r="H153" s="24" t="s">
        <v>719</v>
      </c>
      <c r="I153" s="24" t="s">
        <v>28</v>
      </c>
      <c r="J153" s="23" t="s">
        <v>720</v>
      </c>
      <c r="K153" s="23" t="s">
        <v>721</v>
      </c>
      <c r="L153" s="24" t="s">
        <v>15</v>
      </c>
      <c r="M153" s="25">
        <f t="shared" si="2"/>
        <v>1</v>
      </c>
      <c r="N153" s="21"/>
    </row>
    <row r="154" s="3" customFormat="1" ht="39" spans="1:14">
      <c r="A154" s="27"/>
      <c r="B154" s="21"/>
      <c r="C154" s="29"/>
      <c r="D154" s="29"/>
      <c r="E154" s="23" t="s">
        <v>651</v>
      </c>
      <c r="F154" s="24" t="s">
        <v>709</v>
      </c>
      <c r="G154" s="24" t="s">
        <v>722</v>
      </c>
      <c r="H154" s="24" t="s">
        <v>723</v>
      </c>
      <c r="I154" s="24" t="s">
        <v>24</v>
      </c>
      <c r="J154" s="23" t="s">
        <v>724</v>
      </c>
      <c r="K154" s="23" t="s">
        <v>725</v>
      </c>
      <c r="L154" s="24" t="s">
        <v>15</v>
      </c>
      <c r="M154" s="25">
        <f t="shared" si="2"/>
        <v>1</v>
      </c>
      <c r="N154" s="21"/>
    </row>
    <row r="155" s="3" customFormat="1" ht="39" spans="1:14">
      <c r="A155" s="27"/>
      <c r="B155" s="21"/>
      <c r="C155" s="22" t="s">
        <v>726</v>
      </c>
      <c r="D155" s="22" t="s">
        <v>726</v>
      </c>
      <c r="E155" s="23" t="s">
        <v>524</v>
      </c>
      <c r="F155" s="24" t="s">
        <v>727</v>
      </c>
      <c r="G155" s="24" t="s">
        <v>728</v>
      </c>
      <c r="H155" s="24" t="s">
        <v>729</v>
      </c>
      <c r="I155" s="24" t="s">
        <v>22</v>
      </c>
      <c r="J155" s="23" t="s">
        <v>730</v>
      </c>
      <c r="K155" s="23" t="s">
        <v>731</v>
      </c>
      <c r="L155" s="24" t="s">
        <v>17</v>
      </c>
      <c r="M155" s="25">
        <f t="shared" si="2"/>
        <v>0.333333333333333</v>
      </c>
      <c r="N155" s="21"/>
    </row>
    <row r="156" s="3" customFormat="1" ht="39" spans="1:14">
      <c r="A156" s="27"/>
      <c r="B156" s="21"/>
      <c r="C156" s="28"/>
      <c r="D156" s="28"/>
      <c r="E156" s="23" t="s">
        <v>524</v>
      </c>
      <c r="F156" s="24" t="s">
        <v>727</v>
      </c>
      <c r="G156" s="24" t="s">
        <v>732</v>
      </c>
      <c r="H156" s="24" t="s">
        <v>733</v>
      </c>
      <c r="I156" s="24" t="s">
        <v>26</v>
      </c>
      <c r="J156" s="23" t="s">
        <v>734</v>
      </c>
      <c r="K156" s="23" t="s">
        <v>735</v>
      </c>
      <c r="L156" s="24" t="s">
        <v>17</v>
      </c>
      <c r="M156" s="25">
        <f t="shared" si="2"/>
        <v>0.333333333333333</v>
      </c>
      <c r="N156" s="21"/>
    </row>
    <row r="157" s="3" customFormat="1" ht="39" spans="1:14">
      <c r="A157" s="27"/>
      <c r="B157" s="21"/>
      <c r="C157" s="28"/>
      <c r="D157" s="28"/>
      <c r="E157" s="23" t="s">
        <v>524</v>
      </c>
      <c r="F157" s="24" t="s">
        <v>727</v>
      </c>
      <c r="G157" s="24" t="s">
        <v>736</v>
      </c>
      <c r="H157" s="24" t="s">
        <v>737</v>
      </c>
      <c r="I157" s="24" t="s">
        <v>28</v>
      </c>
      <c r="J157" s="23" t="s">
        <v>738</v>
      </c>
      <c r="K157" s="23" t="s">
        <v>739</v>
      </c>
      <c r="L157" s="24" t="s">
        <v>17</v>
      </c>
      <c r="M157" s="25">
        <f t="shared" si="2"/>
        <v>0.333333333333333</v>
      </c>
      <c r="N157" s="21"/>
    </row>
    <row r="158" s="3" customFormat="1" ht="39" spans="1:14">
      <c r="A158" s="27"/>
      <c r="B158" s="21"/>
      <c r="C158" s="29"/>
      <c r="D158" s="29"/>
      <c r="E158" s="23" t="s">
        <v>524</v>
      </c>
      <c r="F158" s="24" t="s">
        <v>727</v>
      </c>
      <c r="G158" s="24" t="s">
        <v>740</v>
      </c>
      <c r="H158" s="24" t="s">
        <v>741</v>
      </c>
      <c r="I158" s="24" t="s">
        <v>24</v>
      </c>
      <c r="J158" s="23" t="s">
        <v>742</v>
      </c>
      <c r="K158" s="23" t="s">
        <v>743</v>
      </c>
      <c r="L158" s="24" t="s">
        <v>17</v>
      </c>
      <c r="M158" s="25">
        <f t="shared" si="2"/>
        <v>0.333333333333333</v>
      </c>
      <c r="N158" s="21"/>
    </row>
    <row r="159" s="3" customFormat="1" ht="39" spans="1:14">
      <c r="A159" s="27"/>
      <c r="B159" s="21"/>
      <c r="C159" s="22" t="s">
        <v>744</v>
      </c>
      <c r="D159" s="22" t="s">
        <v>744</v>
      </c>
      <c r="E159" s="23" t="s">
        <v>524</v>
      </c>
      <c r="F159" s="24" t="s">
        <v>745</v>
      </c>
      <c r="G159" s="24" t="s">
        <v>746</v>
      </c>
      <c r="H159" s="24" t="s">
        <v>747</v>
      </c>
      <c r="I159" s="24" t="s">
        <v>22</v>
      </c>
      <c r="J159" s="23" t="s">
        <v>748</v>
      </c>
      <c r="K159" s="23" t="s">
        <v>749</v>
      </c>
      <c r="L159" s="24" t="s">
        <v>17</v>
      </c>
      <c r="M159" s="25">
        <f t="shared" si="2"/>
        <v>0.333333333333333</v>
      </c>
      <c r="N159" s="21"/>
    </row>
    <row r="160" s="3" customFormat="1" ht="39" spans="1:14">
      <c r="A160" s="27"/>
      <c r="B160" s="21"/>
      <c r="C160" s="28"/>
      <c r="D160" s="28"/>
      <c r="E160" s="23" t="s">
        <v>524</v>
      </c>
      <c r="F160" s="24" t="s">
        <v>745</v>
      </c>
      <c r="G160" s="24" t="s">
        <v>750</v>
      </c>
      <c r="H160" s="24" t="s">
        <v>751</v>
      </c>
      <c r="I160" s="24" t="s">
        <v>26</v>
      </c>
      <c r="J160" s="23" t="s">
        <v>752</v>
      </c>
      <c r="K160" s="23" t="s">
        <v>753</v>
      </c>
      <c r="L160" s="24" t="s">
        <v>17</v>
      </c>
      <c r="M160" s="25">
        <f t="shared" si="2"/>
        <v>0.333333333333333</v>
      </c>
      <c r="N160" s="21"/>
    </row>
    <row r="161" s="3" customFormat="1" ht="39" spans="1:14">
      <c r="A161" s="27"/>
      <c r="B161" s="21"/>
      <c r="C161" s="28"/>
      <c r="D161" s="28"/>
      <c r="E161" s="23" t="s">
        <v>524</v>
      </c>
      <c r="F161" s="24" t="s">
        <v>745</v>
      </c>
      <c r="G161" s="24" t="s">
        <v>754</v>
      </c>
      <c r="H161" s="24" t="s">
        <v>755</v>
      </c>
      <c r="I161" s="24" t="s">
        <v>28</v>
      </c>
      <c r="J161" s="23" t="s">
        <v>756</v>
      </c>
      <c r="K161" s="23" t="s">
        <v>757</v>
      </c>
      <c r="L161" s="24" t="s">
        <v>17</v>
      </c>
      <c r="M161" s="25">
        <f t="shared" si="2"/>
        <v>0.333333333333333</v>
      </c>
      <c r="N161" s="21"/>
    </row>
    <row r="162" s="3" customFormat="1" ht="39" spans="1:14">
      <c r="A162" s="27"/>
      <c r="B162" s="21"/>
      <c r="C162" s="29"/>
      <c r="D162" s="29"/>
      <c r="E162" s="23" t="s">
        <v>524</v>
      </c>
      <c r="F162" s="24" t="s">
        <v>745</v>
      </c>
      <c r="G162" s="24" t="s">
        <v>758</v>
      </c>
      <c r="H162" s="24" t="s">
        <v>759</v>
      </c>
      <c r="I162" s="24" t="s">
        <v>24</v>
      </c>
      <c r="J162" s="23" t="s">
        <v>760</v>
      </c>
      <c r="K162" s="23" t="s">
        <v>761</v>
      </c>
      <c r="L162" s="24" t="s">
        <v>17</v>
      </c>
      <c r="M162" s="25">
        <f t="shared" si="2"/>
        <v>0.333333333333333</v>
      </c>
      <c r="N162" s="21"/>
    </row>
    <row r="163" s="3" customFormat="1" ht="39" spans="1:14">
      <c r="A163" s="27"/>
      <c r="B163" s="21"/>
      <c r="C163" s="22" t="s">
        <v>762</v>
      </c>
      <c r="D163" s="22" t="s">
        <v>763</v>
      </c>
      <c r="E163" s="23" t="s">
        <v>524</v>
      </c>
      <c r="F163" s="24" t="s">
        <v>764</v>
      </c>
      <c r="G163" s="24" t="s">
        <v>765</v>
      </c>
      <c r="H163" s="24" t="s">
        <v>766</v>
      </c>
      <c r="I163" s="24" t="s">
        <v>22</v>
      </c>
      <c r="J163" s="23" t="s">
        <v>767</v>
      </c>
      <c r="K163" s="23" t="s">
        <v>768</v>
      </c>
      <c r="L163" s="24" t="s">
        <v>17</v>
      </c>
      <c r="M163" s="25">
        <f t="shared" si="2"/>
        <v>0.333333333333333</v>
      </c>
      <c r="N163" s="21"/>
    </row>
    <row r="164" s="3" customFormat="1" ht="39" spans="1:14">
      <c r="A164" s="27"/>
      <c r="B164" s="21"/>
      <c r="C164" s="28"/>
      <c r="D164" s="28"/>
      <c r="E164" s="23" t="s">
        <v>524</v>
      </c>
      <c r="F164" s="24" t="s">
        <v>764</v>
      </c>
      <c r="G164" s="24" t="s">
        <v>769</v>
      </c>
      <c r="H164" s="24" t="s">
        <v>770</v>
      </c>
      <c r="I164" s="24" t="s">
        <v>26</v>
      </c>
      <c r="J164" s="23" t="s">
        <v>771</v>
      </c>
      <c r="K164" s="23" t="s">
        <v>772</v>
      </c>
      <c r="L164" s="24" t="s">
        <v>17</v>
      </c>
      <c r="M164" s="25">
        <f t="shared" si="2"/>
        <v>0.333333333333333</v>
      </c>
      <c r="N164" s="21"/>
    </row>
    <row r="165" s="3" customFormat="1" ht="39" spans="1:14">
      <c r="A165" s="27"/>
      <c r="B165" s="21"/>
      <c r="C165" s="28"/>
      <c r="D165" s="28"/>
      <c r="E165" s="23" t="s">
        <v>524</v>
      </c>
      <c r="F165" s="24" t="s">
        <v>764</v>
      </c>
      <c r="G165" s="24" t="s">
        <v>773</v>
      </c>
      <c r="H165" s="24" t="s">
        <v>774</v>
      </c>
      <c r="I165" s="24" t="s">
        <v>28</v>
      </c>
      <c r="J165" s="23" t="s">
        <v>775</v>
      </c>
      <c r="K165" s="23" t="s">
        <v>776</v>
      </c>
      <c r="L165" s="24" t="s">
        <v>17</v>
      </c>
      <c r="M165" s="25">
        <f t="shared" si="2"/>
        <v>0.333333333333333</v>
      </c>
      <c r="N165" s="21"/>
    </row>
    <row r="166" s="3" customFormat="1" ht="39" spans="1:14">
      <c r="A166" s="27"/>
      <c r="B166" s="21"/>
      <c r="C166" s="29"/>
      <c r="D166" s="29"/>
      <c r="E166" s="23" t="s">
        <v>524</v>
      </c>
      <c r="F166" s="24" t="s">
        <v>764</v>
      </c>
      <c r="G166" s="24" t="s">
        <v>777</v>
      </c>
      <c r="H166" s="24" t="s">
        <v>778</v>
      </c>
      <c r="I166" s="24" t="s">
        <v>24</v>
      </c>
      <c r="J166" s="23" t="s">
        <v>779</v>
      </c>
      <c r="K166" s="23" t="s">
        <v>780</v>
      </c>
      <c r="L166" s="24" t="s">
        <v>17</v>
      </c>
      <c r="M166" s="25">
        <f t="shared" si="2"/>
        <v>0.333333333333333</v>
      </c>
      <c r="N166" s="21"/>
    </row>
    <row r="167" s="3" customFormat="1" ht="39" spans="1:14">
      <c r="A167" s="27"/>
      <c r="B167" s="21"/>
      <c r="C167" s="22" t="s">
        <v>781</v>
      </c>
      <c r="D167" s="22" t="s">
        <v>782</v>
      </c>
      <c r="E167" s="23" t="s">
        <v>524</v>
      </c>
      <c r="F167" s="24" t="s">
        <v>783</v>
      </c>
      <c r="G167" s="24" t="s">
        <v>784</v>
      </c>
      <c r="H167" s="24" t="s">
        <v>785</v>
      </c>
      <c r="I167" s="24" t="s">
        <v>22</v>
      </c>
      <c r="J167" s="23" t="s">
        <v>786</v>
      </c>
      <c r="K167" s="23" t="s">
        <v>787</v>
      </c>
      <c r="L167" s="24" t="s">
        <v>17</v>
      </c>
      <c r="M167" s="25">
        <f t="shared" si="2"/>
        <v>0.333333333333333</v>
      </c>
      <c r="N167" s="21"/>
    </row>
    <row r="168" s="3" customFormat="1" ht="39" spans="1:14">
      <c r="A168" s="27"/>
      <c r="B168" s="21"/>
      <c r="C168" s="28"/>
      <c r="D168" s="28"/>
      <c r="E168" s="23" t="s">
        <v>524</v>
      </c>
      <c r="F168" s="24" t="s">
        <v>783</v>
      </c>
      <c r="G168" s="24" t="s">
        <v>788</v>
      </c>
      <c r="H168" s="24" t="s">
        <v>789</v>
      </c>
      <c r="I168" s="24" t="s">
        <v>26</v>
      </c>
      <c r="J168" s="23" t="s">
        <v>790</v>
      </c>
      <c r="K168" s="23" t="s">
        <v>791</v>
      </c>
      <c r="L168" s="24" t="s">
        <v>17</v>
      </c>
      <c r="M168" s="25">
        <f t="shared" si="2"/>
        <v>0.333333333333333</v>
      </c>
      <c r="N168" s="21"/>
    </row>
    <row r="169" s="3" customFormat="1" ht="39" spans="1:14">
      <c r="A169" s="27"/>
      <c r="B169" s="21"/>
      <c r="C169" s="28"/>
      <c r="D169" s="28"/>
      <c r="E169" s="23" t="s">
        <v>524</v>
      </c>
      <c r="F169" s="24" t="s">
        <v>783</v>
      </c>
      <c r="G169" s="24" t="s">
        <v>792</v>
      </c>
      <c r="H169" s="24" t="s">
        <v>793</v>
      </c>
      <c r="I169" s="24" t="s">
        <v>28</v>
      </c>
      <c r="J169" s="23" t="s">
        <v>794</v>
      </c>
      <c r="K169" s="23" t="s">
        <v>795</v>
      </c>
      <c r="L169" s="24" t="s">
        <v>17</v>
      </c>
      <c r="M169" s="25">
        <f t="shared" si="2"/>
        <v>0.333333333333333</v>
      </c>
      <c r="N169" s="21"/>
    </row>
    <row r="170" s="3" customFormat="1" ht="39" spans="1:14">
      <c r="A170" s="27"/>
      <c r="B170" s="21"/>
      <c r="C170" s="29"/>
      <c r="D170" s="29"/>
      <c r="E170" s="23" t="s">
        <v>524</v>
      </c>
      <c r="F170" s="24" t="s">
        <v>783</v>
      </c>
      <c r="G170" s="24" t="s">
        <v>796</v>
      </c>
      <c r="H170" s="24" t="s">
        <v>797</v>
      </c>
      <c r="I170" s="24" t="s">
        <v>24</v>
      </c>
      <c r="J170" s="23" t="s">
        <v>798</v>
      </c>
      <c r="K170" s="23" t="s">
        <v>799</v>
      </c>
      <c r="L170" s="24" t="s">
        <v>17</v>
      </c>
      <c r="M170" s="25">
        <f t="shared" si="2"/>
        <v>0.333333333333333</v>
      </c>
      <c r="N170" s="21"/>
    </row>
    <row r="171" s="3" customFormat="1" ht="39" spans="1:14">
      <c r="A171" s="27"/>
      <c r="B171" s="21"/>
      <c r="C171" s="22" t="s">
        <v>800</v>
      </c>
      <c r="D171" s="22" t="s">
        <v>801</v>
      </c>
      <c r="E171" s="23" t="s">
        <v>524</v>
      </c>
      <c r="F171" s="24" t="s">
        <v>802</v>
      </c>
      <c r="G171" s="24" t="s">
        <v>803</v>
      </c>
      <c r="H171" s="24" t="s">
        <v>804</v>
      </c>
      <c r="I171" s="24" t="s">
        <v>22</v>
      </c>
      <c r="J171" s="23" t="s">
        <v>805</v>
      </c>
      <c r="K171" s="23" t="s">
        <v>806</v>
      </c>
      <c r="L171" s="30" t="s">
        <v>15</v>
      </c>
      <c r="M171" s="25">
        <f t="shared" si="2"/>
        <v>1</v>
      </c>
      <c r="N171" s="21"/>
    </row>
    <row r="172" s="3" customFormat="1" ht="39" spans="1:14">
      <c r="A172" s="27"/>
      <c r="B172" s="21"/>
      <c r="C172" s="28"/>
      <c r="D172" s="28"/>
      <c r="E172" s="23" t="s">
        <v>524</v>
      </c>
      <c r="F172" s="24" t="s">
        <v>802</v>
      </c>
      <c r="G172" s="24" t="s">
        <v>807</v>
      </c>
      <c r="H172" s="24" t="s">
        <v>808</v>
      </c>
      <c r="I172" s="24" t="s">
        <v>26</v>
      </c>
      <c r="J172" s="23" t="s">
        <v>809</v>
      </c>
      <c r="K172" s="23" t="s">
        <v>810</v>
      </c>
      <c r="L172" s="30" t="s">
        <v>15</v>
      </c>
      <c r="M172" s="25">
        <f t="shared" si="2"/>
        <v>1</v>
      </c>
      <c r="N172" s="21"/>
    </row>
    <row r="173" s="3" customFormat="1" ht="39" spans="1:14">
      <c r="A173" s="27"/>
      <c r="B173" s="21"/>
      <c r="C173" s="28"/>
      <c r="D173" s="28"/>
      <c r="E173" s="23" t="s">
        <v>524</v>
      </c>
      <c r="F173" s="24" t="s">
        <v>802</v>
      </c>
      <c r="G173" s="24" t="s">
        <v>811</v>
      </c>
      <c r="H173" s="24" t="s">
        <v>812</v>
      </c>
      <c r="I173" s="24" t="s">
        <v>28</v>
      </c>
      <c r="J173" s="23" t="s">
        <v>813</v>
      </c>
      <c r="K173" s="23" t="s">
        <v>814</v>
      </c>
      <c r="L173" s="21" t="s">
        <v>15</v>
      </c>
      <c r="M173" s="25">
        <f t="shared" si="2"/>
        <v>1</v>
      </c>
      <c r="N173" s="21"/>
    </row>
    <row r="174" s="3" customFormat="1" ht="39" spans="1:14">
      <c r="A174" s="27"/>
      <c r="B174" s="21"/>
      <c r="C174" s="29"/>
      <c r="D174" s="29"/>
      <c r="E174" s="23" t="s">
        <v>524</v>
      </c>
      <c r="F174" s="24" t="s">
        <v>802</v>
      </c>
      <c r="G174" s="24" t="s">
        <v>815</v>
      </c>
      <c r="H174" s="24" t="s">
        <v>816</v>
      </c>
      <c r="I174" s="24" t="s">
        <v>24</v>
      </c>
      <c r="J174" s="23" t="s">
        <v>817</v>
      </c>
      <c r="K174" s="23" t="s">
        <v>818</v>
      </c>
      <c r="L174" s="21" t="s">
        <v>15</v>
      </c>
      <c r="M174" s="25">
        <f t="shared" si="2"/>
        <v>1</v>
      </c>
      <c r="N174" s="21"/>
    </row>
    <row r="175" s="3" customFormat="1" ht="39" spans="1:14">
      <c r="A175" s="27"/>
      <c r="B175" s="21"/>
      <c r="C175" s="22" t="s">
        <v>819</v>
      </c>
      <c r="D175" s="22" t="s">
        <v>820</v>
      </c>
      <c r="E175" s="23" t="s">
        <v>524</v>
      </c>
      <c r="F175" s="24" t="s">
        <v>821</v>
      </c>
      <c r="G175" s="24" t="s">
        <v>822</v>
      </c>
      <c r="H175" s="24" t="s">
        <v>823</v>
      </c>
      <c r="I175" s="24" t="s">
        <v>22</v>
      </c>
      <c r="J175" s="23" t="s">
        <v>824</v>
      </c>
      <c r="K175" s="23" t="s">
        <v>825</v>
      </c>
      <c r="L175" s="21" t="s">
        <v>15</v>
      </c>
      <c r="M175" s="25">
        <f t="shared" si="2"/>
        <v>1</v>
      </c>
      <c r="N175" s="21"/>
    </row>
    <row r="176" s="3" customFormat="1" ht="39" spans="1:14">
      <c r="A176" s="27"/>
      <c r="B176" s="21"/>
      <c r="C176" s="28"/>
      <c r="D176" s="28"/>
      <c r="E176" s="23" t="s">
        <v>524</v>
      </c>
      <c r="F176" s="24" t="s">
        <v>821</v>
      </c>
      <c r="G176" s="24" t="s">
        <v>826</v>
      </c>
      <c r="H176" s="24" t="s">
        <v>827</v>
      </c>
      <c r="I176" s="24" t="s">
        <v>26</v>
      </c>
      <c r="J176" s="23" t="s">
        <v>99</v>
      </c>
      <c r="K176" s="23" t="s">
        <v>828</v>
      </c>
      <c r="L176" s="21" t="s">
        <v>15</v>
      </c>
      <c r="M176" s="25">
        <f t="shared" si="2"/>
        <v>1</v>
      </c>
      <c r="N176" s="21"/>
    </row>
    <row r="177" s="3" customFormat="1" ht="39" spans="1:14">
      <c r="A177" s="27"/>
      <c r="B177" s="21"/>
      <c r="C177" s="28"/>
      <c r="D177" s="28"/>
      <c r="E177" s="23" t="s">
        <v>524</v>
      </c>
      <c r="F177" s="24" t="s">
        <v>821</v>
      </c>
      <c r="G177" s="24" t="s">
        <v>829</v>
      </c>
      <c r="H177" s="24" t="s">
        <v>830</v>
      </c>
      <c r="I177" s="24" t="s">
        <v>28</v>
      </c>
      <c r="J177" s="23" t="s">
        <v>103</v>
      </c>
      <c r="K177" s="23" t="s">
        <v>831</v>
      </c>
      <c r="L177" s="21" t="s">
        <v>15</v>
      </c>
      <c r="M177" s="25">
        <f t="shared" si="2"/>
        <v>1</v>
      </c>
      <c r="N177" s="21"/>
    </row>
    <row r="178" s="3" customFormat="1" ht="39" spans="1:14">
      <c r="A178" s="27"/>
      <c r="B178" s="21"/>
      <c r="C178" s="29"/>
      <c r="D178" s="29"/>
      <c r="E178" s="23" t="s">
        <v>524</v>
      </c>
      <c r="F178" s="24" t="s">
        <v>821</v>
      </c>
      <c r="G178" s="24" t="s">
        <v>832</v>
      </c>
      <c r="H178" s="24" t="s">
        <v>833</v>
      </c>
      <c r="I178" s="24" t="s">
        <v>24</v>
      </c>
      <c r="J178" s="23" t="s">
        <v>834</v>
      </c>
      <c r="K178" s="23" t="s">
        <v>835</v>
      </c>
      <c r="L178" s="21" t="s">
        <v>15</v>
      </c>
      <c r="M178" s="25">
        <f t="shared" si="2"/>
        <v>1</v>
      </c>
      <c r="N178" s="21"/>
    </row>
    <row r="179" s="3" customFormat="1" ht="39" spans="1:14">
      <c r="A179" s="27"/>
      <c r="B179" s="21"/>
      <c r="C179" s="22" t="s">
        <v>836</v>
      </c>
      <c r="D179" s="22" t="s">
        <v>837</v>
      </c>
      <c r="E179" s="23" t="s">
        <v>524</v>
      </c>
      <c r="F179" s="24" t="s">
        <v>838</v>
      </c>
      <c r="G179" s="24" t="s">
        <v>839</v>
      </c>
      <c r="H179" s="24" t="s">
        <v>840</v>
      </c>
      <c r="I179" s="24" t="s">
        <v>22</v>
      </c>
      <c r="J179" s="23" t="s">
        <v>841</v>
      </c>
      <c r="K179" s="23" t="s">
        <v>842</v>
      </c>
      <c r="L179" s="21" t="s">
        <v>15</v>
      </c>
      <c r="M179" s="25">
        <f t="shared" si="2"/>
        <v>1</v>
      </c>
      <c r="N179" s="21"/>
    </row>
    <row r="180" s="3" customFormat="1" ht="39" spans="1:14">
      <c r="A180" s="27"/>
      <c r="B180" s="21"/>
      <c r="C180" s="28"/>
      <c r="D180" s="28"/>
      <c r="E180" s="23" t="s">
        <v>524</v>
      </c>
      <c r="F180" s="24" t="s">
        <v>838</v>
      </c>
      <c r="G180" s="24" t="s">
        <v>843</v>
      </c>
      <c r="H180" s="24" t="s">
        <v>844</v>
      </c>
      <c r="I180" s="24" t="s">
        <v>26</v>
      </c>
      <c r="J180" s="23" t="s">
        <v>845</v>
      </c>
      <c r="K180" s="23" t="s">
        <v>846</v>
      </c>
      <c r="L180" s="21" t="s">
        <v>15</v>
      </c>
      <c r="M180" s="25">
        <f t="shared" si="2"/>
        <v>1</v>
      </c>
      <c r="N180" s="21"/>
    </row>
    <row r="181" s="3" customFormat="1" ht="39" spans="1:14">
      <c r="A181" s="27"/>
      <c r="B181" s="21"/>
      <c r="C181" s="28"/>
      <c r="D181" s="28"/>
      <c r="E181" s="23" t="s">
        <v>524</v>
      </c>
      <c r="F181" s="24" t="s">
        <v>838</v>
      </c>
      <c r="G181" s="24" t="s">
        <v>847</v>
      </c>
      <c r="H181" s="24" t="s">
        <v>848</v>
      </c>
      <c r="I181" s="24" t="s">
        <v>28</v>
      </c>
      <c r="J181" s="23" t="s">
        <v>849</v>
      </c>
      <c r="K181" s="23" t="s">
        <v>850</v>
      </c>
      <c r="L181" s="21" t="s">
        <v>15</v>
      </c>
      <c r="M181" s="25">
        <f t="shared" si="2"/>
        <v>1</v>
      </c>
      <c r="N181" s="21"/>
    </row>
    <row r="182" s="3" customFormat="1" ht="39" spans="1:14">
      <c r="A182" s="27"/>
      <c r="B182" s="21"/>
      <c r="C182" s="28"/>
      <c r="D182" s="29"/>
      <c r="E182" s="23" t="s">
        <v>524</v>
      </c>
      <c r="F182" s="24" t="s">
        <v>838</v>
      </c>
      <c r="G182" s="24" t="s">
        <v>851</v>
      </c>
      <c r="H182" s="24" t="s">
        <v>852</v>
      </c>
      <c r="I182" s="24" t="s">
        <v>24</v>
      </c>
      <c r="J182" s="23" t="s">
        <v>853</v>
      </c>
      <c r="K182" s="23" t="s">
        <v>854</v>
      </c>
      <c r="L182" s="21" t="s">
        <v>15</v>
      </c>
      <c r="M182" s="25">
        <f t="shared" si="2"/>
        <v>1</v>
      </c>
      <c r="N182" s="21"/>
    </row>
    <row r="183" s="3" customFormat="1" ht="39" spans="1:14">
      <c r="A183" s="27"/>
      <c r="B183" s="21"/>
      <c r="C183" s="28"/>
      <c r="D183" s="22" t="s">
        <v>855</v>
      </c>
      <c r="E183" s="23" t="s">
        <v>524</v>
      </c>
      <c r="F183" s="24" t="s">
        <v>856</v>
      </c>
      <c r="G183" s="24" t="s">
        <v>857</v>
      </c>
      <c r="H183" s="24" t="s">
        <v>858</v>
      </c>
      <c r="I183" s="24" t="s">
        <v>22</v>
      </c>
      <c r="J183" s="23" t="s">
        <v>859</v>
      </c>
      <c r="K183" s="23" t="s">
        <v>860</v>
      </c>
      <c r="L183" s="21" t="s">
        <v>15</v>
      </c>
      <c r="M183" s="25">
        <f t="shared" si="2"/>
        <v>1</v>
      </c>
      <c r="N183" s="21"/>
    </row>
    <row r="184" s="3" customFormat="1" ht="39" spans="1:14">
      <c r="A184" s="27"/>
      <c r="B184" s="21"/>
      <c r="C184" s="28"/>
      <c r="D184" s="28"/>
      <c r="E184" s="23" t="s">
        <v>524</v>
      </c>
      <c r="F184" s="24" t="s">
        <v>856</v>
      </c>
      <c r="G184" s="24" t="s">
        <v>861</v>
      </c>
      <c r="H184" s="24" t="s">
        <v>862</v>
      </c>
      <c r="I184" s="24" t="s">
        <v>26</v>
      </c>
      <c r="J184" s="23" t="s">
        <v>863</v>
      </c>
      <c r="K184" s="23" t="s">
        <v>864</v>
      </c>
      <c r="L184" s="21" t="s">
        <v>15</v>
      </c>
      <c r="M184" s="25">
        <f t="shared" si="2"/>
        <v>1</v>
      </c>
      <c r="N184" s="21"/>
    </row>
    <row r="185" s="3" customFormat="1" ht="39" spans="1:14">
      <c r="A185" s="27"/>
      <c r="B185" s="21"/>
      <c r="C185" s="28"/>
      <c r="D185" s="28"/>
      <c r="E185" s="23" t="s">
        <v>524</v>
      </c>
      <c r="F185" s="24" t="s">
        <v>856</v>
      </c>
      <c r="G185" s="24" t="s">
        <v>865</v>
      </c>
      <c r="H185" s="24" t="s">
        <v>866</v>
      </c>
      <c r="I185" s="24" t="s">
        <v>28</v>
      </c>
      <c r="J185" s="23" t="s">
        <v>867</v>
      </c>
      <c r="K185" s="23" t="s">
        <v>868</v>
      </c>
      <c r="L185" s="21" t="s">
        <v>15</v>
      </c>
      <c r="M185" s="25">
        <f t="shared" si="2"/>
        <v>1</v>
      </c>
      <c r="N185" s="21"/>
    </row>
    <row r="186" s="3" customFormat="1" ht="39" spans="1:14">
      <c r="A186" s="27"/>
      <c r="B186" s="21"/>
      <c r="C186" s="29"/>
      <c r="D186" s="29"/>
      <c r="E186" s="23" t="s">
        <v>524</v>
      </c>
      <c r="F186" s="24" t="s">
        <v>856</v>
      </c>
      <c r="G186" s="24" t="s">
        <v>869</v>
      </c>
      <c r="H186" s="24" t="s">
        <v>870</v>
      </c>
      <c r="I186" s="24" t="s">
        <v>24</v>
      </c>
      <c r="J186" s="23" t="s">
        <v>871</v>
      </c>
      <c r="K186" s="23" t="s">
        <v>872</v>
      </c>
      <c r="L186" s="21" t="s">
        <v>15</v>
      </c>
      <c r="M186" s="25">
        <f t="shared" si="2"/>
        <v>1</v>
      </c>
      <c r="N186" s="21"/>
    </row>
    <row r="187" s="3" customFormat="1" ht="39" spans="1:14">
      <c r="A187" s="27"/>
      <c r="B187" s="21"/>
      <c r="C187" s="22" t="s">
        <v>873</v>
      </c>
      <c r="D187" s="22" t="s">
        <v>874</v>
      </c>
      <c r="E187" s="23" t="s">
        <v>524</v>
      </c>
      <c r="F187" s="24" t="s">
        <v>875</v>
      </c>
      <c r="G187" s="24" t="s">
        <v>876</v>
      </c>
      <c r="H187" s="24" t="s">
        <v>877</v>
      </c>
      <c r="I187" s="24" t="s">
        <v>22</v>
      </c>
      <c r="J187" s="23" t="s">
        <v>878</v>
      </c>
      <c r="K187" s="23" t="s">
        <v>879</v>
      </c>
      <c r="L187" s="31" t="s">
        <v>15</v>
      </c>
      <c r="M187" s="25">
        <f t="shared" ref="M187:M242" si="3">IF(L187="新增",1,IF(L187="复用",1/3,0))</f>
        <v>1</v>
      </c>
      <c r="N187" s="21"/>
    </row>
    <row r="188" s="3" customFormat="1" ht="39" spans="1:14">
      <c r="A188" s="27"/>
      <c r="B188" s="21"/>
      <c r="C188" s="28"/>
      <c r="D188" s="28"/>
      <c r="E188" s="23" t="s">
        <v>524</v>
      </c>
      <c r="F188" s="24" t="s">
        <v>875</v>
      </c>
      <c r="G188" s="24" t="s">
        <v>880</v>
      </c>
      <c r="H188" s="24" t="s">
        <v>881</v>
      </c>
      <c r="I188" s="24" t="s">
        <v>26</v>
      </c>
      <c r="J188" s="23" t="s">
        <v>882</v>
      </c>
      <c r="K188" s="23" t="s">
        <v>883</v>
      </c>
      <c r="L188" s="31" t="s">
        <v>15</v>
      </c>
      <c r="M188" s="25">
        <f t="shared" si="3"/>
        <v>1</v>
      </c>
      <c r="N188" s="21"/>
    </row>
    <row r="189" s="3" customFormat="1" ht="39" spans="1:14">
      <c r="A189" s="27"/>
      <c r="B189" s="21"/>
      <c r="C189" s="28"/>
      <c r="D189" s="28"/>
      <c r="E189" s="23" t="s">
        <v>524</v>
      </c>
      <c r="F189" s="24" t="s">
        <v>875</v>
      </c>
      <c r="G189" s="24" t="s">
        <v>884</v>
      </c>
      <c r="H189" s="24" t="s">
        <v>885</v>
      </c>
      <c r="I189" s="24" t="s">
        <v>28</v>
      </c>
      <c r="J189" s="23" t="s">
        <v>886</v>
      </c>
      <c r="K189" s="23" t="s">
        <v>887</v>
      </c>
      <c r="L189" s="31" t="s">
        <v>15</v>
      </c>
      <c r="M189" s="25">
        <f t="shared" si="3"/>
        <v>1</v>
      </c>
      <c r="N189" s="21"/>
    </row>
    <row r="190" s="3" customFormat="1" ht="39" spans="1:14">
      <c r="A190" s="27"/>
      <c r="B190" s="21"/>
      <c r="C190" s="29"/>
      <c r="D190" s="29"/>
      <c r="E190" s="23" t="s">
        <v>524</v>
      </c>
      <c r="F190" s="24" t="s">
        <v>875</v>
      </c>
      <c r="G190" s="24" t="s">
        <v>888</v>
      </c>
      <c r="H190" s="24" t="s">
        <v>889</v>
      </c>
      <c r="I190" s="24" t="s">
        <v>24</v>
      </c>
      <c r="J190" s="23" t="s">
        <v>890</v>
      </c>
      <c r="K190" s="23" t="s">
        <v>891</v>
      </c>
      <c r="L190" s="31" t="s">
        <v>15</v>
      </c>
      <c r="M190" s="25">
        <f t="shared" si="3"/>
        <v>1</v>
      </c>
      <c r="N190" s="21"/>
    </row>
    <row r="191" s="3" customFormat="1" ht="39" spans="1:14">
      <c r="A191" s="27"/>
      <c r="B191" s="21"/>
      <c r="C191" s="22" t="s">
        <v>892</v>
      </c>
      <c r="D191" s="22" t="s">
        <v>893</v>
      </c>
      <c r="E191" s="24" t="s">
        <v>524</v>
      </c>
      <c r="F191" s="24" t="s">
        <v>894</v>
      </c>
      <c r="G191" s="24" t="s">
        <v>895</v>
      </c>
      <c r="H191" s="24" t="s">
        <v>896</v>
      </c>
      <c r="I191" s="24" t="s">
        <v>22</v>
      </c>
      <c r="J191" s="24" t="s">
        <v>897</v>
      </c>
      <c r="K191" s="24" t="s">
        <v>898</v>
      </c>
      <c r="L191" s="21" t="s">
        <v>15</v>
      </c>
      <c r="M191" s="25">
        <f t="shared" si="3"/>
        <v>1</v>
      </c>
      <c r="N191" s="21"/>
    </row>
    <row r="192" s="3" customFormat="1" ht="39" spans="1:14">
      <c r="A192" s="27"/>
      <c r="B192" s="21"/>
      <c r="C192" s="28"/>
      <c r="D192" s="28"/>
      <c r="E192" s="24" t="s">
        <v>524</v>
      </c>
      <c r="F192" s="24" t="s">
        <v>894</v>
      </c>
      <c r="G192" s="24" t="s">
        <v>899</v>
      </c>
      <c r="H192" s="24" t="s">
        <v>900</v>
      </c>
      <c r="I192" s="24" t="s">
        <v>26</v>
      </c>
      <c r="J192" s="24" t="s">
        <v>901</v>
      </c>
      <c r="K192" s="24" t="s">
        <v>902</v>
      </c>
      <c r="L192" s="21" t="s">
        <v>15</v>
      </c>
      <c r="M192" s="25">
        <f t="shared" si="3"/>
        <v>1</v>
      </c>
      <c r="N192" s="21"/>
    </row>
    <row r="193" s="3" customFormat="1" ht="39" spans="1:14">
      <c r="A193" s="27"/>
      <c r="B193" s="21"/>
      <c r="C193" s="28"/>
      <c r="D193" s="28"/>
      <c r="E193" s="24" t="s">
        <v>524</v>
      </c>
      <c r="F193" s="24" t="s">
        <v>894</v>
      </c>
      <c r="G193" s="24" t="s">
        <v>903</v>
      </c>
      <c r="H193" s="24" t="s">
        <v>904</v>
      </c>
      <c r="I193" s="24" t="s">
        <v>28</v>
      </c>
      <c r="J193" s="24" t="s">
        <v>905</v>
      </c>
      <c r="K193" s="24" t="s">
        <v>906</v>
      </c>
      <c r="L193" s="21" t="s">
        <v>15</v>
      </c>
      <c r="M193" s="25">
        <f t="shared" si="3"/>
        <v>1</v>
      </c>
      <c r="N193" s="21"/>
    </row>
    <row r="194" s="3" customFormat="1" ht="39" spans="1:14">
      <c r="A194" s="27"/>
      <c r="B194" s="21"/>
      <c r="C194" s="29"/>
      <c r="D194" s="29"/>
      <c r="E194" s="24" t="s">
        <v>524</v>
      </c>
      <c r="F194" s="24" t="s">
        <v>894</v>
      </c>
      <c r="G194" s="24" t="s">
        <v>907</v>
      </c>
      <c r="H194" s="24" t="s">
        <v>908</v>
      </c>
      <c r="I194" s="24" t="s">
        <v>24</v>
      </c>
      <c r="J194" s="24" t="s">
        <v>909</v>
      </c>
      <c r="K194" s="24" t="s">
        <v>910</v>
      </c>
      <c r="L194" s="21" t="s">
        <v>15</v>
      </c>
      <c r="M194" s="25">
        <f t="shared" si="3"/>
        <v>1</v>
      </c>
      <c r="N194" s="21"/>
    </row>
    <row r="195" s="3" customFormat="1" ht="39" spans="1:14">
      <c r="A195" s="27"/>
      <c r="B195" s="21"/>
      <c r="C195" s="22" t="s">
        <v>911</v>
      </c>
      <c r="D195" s="22" t="s">
        <v>912</v>
      </c>
      <c r="E195" s="24" t="s">
        <v>524</v>
      </c>
      <c r="F195" s="24" t="s">
        <v>913</v>
      </c>
      <c r="G195" s="24" t="s">
        <v>914</v>
      </c>
      <c r="H195" s="24" t="s">
        <v>915</v>
      </c>
      <c r="I195" s="24" t="s">
        <v>22</v>
      </c>
      <c r="J195" s="24" t="s">
        <v>916</v>
      </c>
      <c r="K195" s="24" t="s">
        <v>917</v>
      </c>
      <c r="L195" s="21" t="s">
        <v>15</v>
      </c>
      <c r="M195" s="25">
        <f t="shared" si="3"/>
        <v>1</v>
      </c>
      <c r="N195" s="21"/>
    </row>
    <row r="196" s="3" customFormat="1" ht="39" spans="1:14">
      <c r="A196" s="27"/>
      <c r="B196" s="21"/>
      <c r="C196" s="28"/>
      <c r="D196" s="28"/>
      <c r="E196" s="24" t="s">
        <v>524</v>
      </c>
      <c r="F196" s="24" t="s">
        <v>913</v>
      </c>
      <c r="G196" s="24" t="s">
        <v>918</v>
      </c>
      <c r="H196" s="24" t="s">
        <v>919</v>
      </c>
      <c r="I196" s="24" t="s">
        <v>26</v>
      </c>
      <c r="J196" s="24" t="s">
        <v>920</v>
      </c>
      <c r="K196" s="24" t="s">
        <v>921</v>
      </c>
      <c r="L196" s="21" t="s">
        <v>15</v>
      </c>
      <c r="M196" s="25">
        <f t="shared" si="3"/>
        <v>1</v>
      </c>
      <c r="N196" s="21"/>
    </row>
    <row r="197" s="3" customFormat="1" ht="39" spans="1:14">
      <c r="A197" s="27"/>
      <c r="B197" s="21"/>
      <c r="C197" s="28"/>
      <c r="D197" s="28"/>
      <c r="E197" s="24" t="s">
        <v>524</v>
      </c>
      <c r="F197" s="24" t="s">
        <v>913</v>
      </c>
      <c r="G197" s="24" t="s">
        <v>922</v>
      </c>
      <c r="H197" s="24" t="s">
        <v>923</v>
      </c>
      <c r="I197" s="24" t="s">
        <v>28</v>
      </c>
      <c r="J197" s="24" t="s">
        <v>924</v>
      </c>
      <c r="K197" s="24" t="s">
        <v>925</v>
      </c>
      <c r="L197" s="21" t="s">
        <v>15</v>
      </c>
      <c r="M197" s="25">
        <f t="shared" si="3"/>
        <v>1</v>
      </c>
      <c r="N197" s="21"/>
    </row>
    <row r="198" s="3" customFormat="1" ht="39" spans="1:14">
      <c r="A198" s="27"/>
      <c r="B198" s="21"/>
      <c r="C198" s="29"/>
      <c r="D198" s="29"/>
      <c r="E198" s="24" t="s">
        <v>524</v>
      </c>
      <c r="F198" s="24" t="s">
        <v>913</v>
      </c>
      <c r="G198" s="24" t="s">
        <v>926</v>
      </c>
      <c r="H198" s="24" t="s">
        <v>927</v>
      </c>
      <c r="I198" s="24" t="s">
        <v>24</v>
      </c>
      <c r="J198" s="24" t="s">
        <v>928</v>
      </c>
      <c r="K198" s="24" t="s">
        <v>929</v>
      </c>
      <c r="L198" s="21" t="s">
        <v>15</v>
      </c>
      <c r="M198" s="25">
        <f t="shared" si="3"/>
        <v>1</v>
      </c>
      <c r="N198" s="21"/>
    </row>
    <row r="199" s="3" customFormat="1" ht="39" spans="1:14">
      <c r="A199" s="27"/>
      <c r="B199" s="21"/>
      <c r="C199" s="22" t="s">
        <v>930</v>
      </c>
      <c r="D199" s="22" t="s">
        <v>931</v>
      </c>
      <c r="E199" s="23" t="s">
        <v>932</v>
      </c>
      <c r="F199" s="24" t="s">
        <v>933</v>
      </c>
      <c r="G199" s="24" t="s">
        <v>934</v>
      </c>
      <c r="H199" s="24" t="s">
        <v>935</v>
      </c>
      <c r="I199" s="24" t="s">
        <v>22</v>
      </c>
      <c r="J199" s="23" t="s">
        <v>936</v>
      </c>
      <c r="K199" s="23" t="s">
        <v>937</v>
      </c>
      <c r="L199" s="21" t="s">
        <v>15</v>
      </c>
      <c r="M199" s="25">
        <f t="shared" si="3"/>
        <v>1</v>
      </c>
      <c r="N199" s="21"/>
    </row>
    <row r="200" s="3" customFormat="1" ht="39" spans="1:14">
      <c r="A200" s="27"/>
      <c r="B200" s="21"/>
      <c r="C200" s="28"/>
      <c r="D200" s="28"/>
      <c r="E200" s="23" t="s">
        <v>932</v>
      </c>
      <c r="F200" s="24" t="s">
        <v>933</v>
      </c>
      <c r="G200" s="24" t="s">
        <v>938</v>
      </c>
      <c r="H200" s="24" t="s">
        <v>939</v>
      </c>
      <c r="I200" s="24" t="s">
        <v>26</v>
      </c>
      <c r="J200" s="23" t="s">
        <v>940</v>
      </c>
      <c r="K200" s="23" t="s">
        <v>941</v>
      </c>
      <c r="L200" s="21" t="s">
        <v>15</v>
      </c>
      <c r="M200" s="25">
        <f t="shared" si="3"/>
        <v>1</v>
      </c>
      <c r="N200" s="21"/>
    </row>
    <row r="201" s="3" customFormat="1" ht="39" spans="1:14">
      <c r="A201" s="27"/>
      <c r="B201" s="21"/>
      <c r="C201" s="28"/>
      <c r="D201" s="28"/>
      <c r="E201" s="23" t="s">
        <v>932</v>
      </c>
      <c r="F201" s="24" t="s">
        <v>933</v>
      </c>
      <c r="G201" s="24" t="s">
        <v>942</v>
      </c>
      <c r="H201" s="24" t="s">
        <v>943</v>
      </c>
      <c r="I201" s="24" t="s">
        <v>28</v>
      </c>
      <c r="J201" s="23" t="s">
        <v>944</v>
      </c>
      <c r="K201" s="23" t="s">
        <v>945</v>
      </c>
      <c r="L201" s="21" t="s">
        <v>15</v>
      </c>
      <c r="M201" s="25">
        <f t="shared" si="3"/>
        <v>1</v>
      </c>
      <c r="N201" s="21"/>
    </row>
    <row r="202" s="3" customFormat="1" ht="39" spans="1:14">
      <c r="A202" s="27"/>
      <c r="B202" s="21"/>
      <c r="C202" s="29"/>
      <c r="D202" s="29"/>
      <c r="E202" s="23" t="s">
        <v>932</v>
      </c>
      <c r="F202" s="24" t="s">
        <v>933</v>
      </c>
      <c r="G202" s="24" t="s">
        <v>946</v>
      </c>
      <c r="H202" s="24" t="s">
        <v>947</v>
      </c>
      <c r="I202" s="24" t="s">
        <v>24</v>
      </c>
      <c r="J202" s="23" t="s">
        <v>948</v>
      </c>
      <c r="K202" s="23" t="s">
        <v>949</v>
      </c>
      <c r="L202" s="21" t="s">
        <v>15</v>
      </c>
      <c r="M202" s="25">
        <f t="shared" si="3"/>
        <v>1</v>
      </c>
      <c r="N202" s="21"/>
    </row>
    <row r="203" s="3" customFormat="1" ht="39" spans="1:14">
      <c r="A203" s="27"/>
      <c r="B203" s="21"/>
      <c r="C203" s="22" t="s">
        <v>950</v>
      </c>
      <c r="D203" s="22" t="s">
        <v>951</v>
      </c>
      <c r="E203" s="23" t="s">
        <v>524</v>
      </c>
      <c r="F203" s="24" t="s">
        <v>952</v>
      </c>
      <c r="G203" s="24" t="s">
        <v>953</v>
      </c>
      <c r="H203" s="24" t="s">
        <v>954</v>
      </c>
      <c r="I203" s="24" t="s">
        <v>22</v>
      </c>
      <c r="J203" s="23" t="s">
        <v>955</v>
      </c>
      <c r="K203" s="23" t="s">
        <v>956</v>
      </c>
      <c r="L203" s="21" t="s">
        <v>15</v>
      </c>
      <c r="M203" s="25">
        <f t="shared" si="3"/>
        <v>1</v>
      </c>
      <c r="N203" s="21"/>
    </row>
    <row r="204" s="3" customFormat="1" ht="39" spans="1:14">
      <c r="A204" s="27"/>
      <c r="B204" s="21"/>
      <c r="C204" s="28"/>
      <c r="D204" s="28"/>
      <c r="E204" s="23" t="s">
        <v>524</v>
      </c>
      <c r="F204" s="24" t="s">
        <v>952</v>
      </c>
      <c r="G204" s="24" t="s">
        <v>957</v>
      </c>
      <c r="H204" s="24" t="s">
        <v>958</v>
      </c>
      <c r="I204" s="24" t="s">
        <v>28</v>
      </c>
      <c r="J204" s="23" t="s">
        <v>959</v>
      </c>
      <c r="K204" s="23" t="s">
        <v>960</v>
      </c>
      <c r="L204" s="21" t="s">
        <v>15</v>
      </c>
      <c r="M204" s="25">
        <f t="shared" si="3"/>
        <v>1</v>
      </c>
      <c r="N204" s="21"/>
    </row>
    <row r="205" s="3" customFormat="1" ht="39" spans="1:14">
      <c r="A205" s="27"/>
      <c r="B205" s="21"/>
      <c r="C205" s="28"/>
      <c r="D205" s="28"/>
      <c r="E205" s="23" t="s">
        <v>524</v>
      </c>
      <c r="F205" s="24" t="s">
        <v>952</v>
      </c>
      <c r="G205" s="24" t="s">
        <v>961</v>
      </c>
      <c r="H205" s="24" t="s">
        <v>962</v>
      </c>
      <c r="I205" s="24" t="s">
        <v>28</v>
      </c>
      <c r="J205" s="23" t="s">
        <v>963</v>
      </c>
      <c r="K205" s="23" t="s">
        <v>964</v>
      </c>
      <c r="L205" s="21" t="s">
        <v>15</v>
      </c>
      <c r="M205" s="25">
        <f t="shared" si="3"/>
        <v>1</v>
      </c>
      <c r="N205" s="21"/>
    </row>
    <row r="206" s="3" customFormat="1" ht="39" spans="1:14">
      <c r="A206" s="27"/>
      <c r="B206" s="21"/>
      <c r="C206" s="29"/>
      <c r="D206" s="29"/>
      <c r="E206" s="23" t="s">
        <v>524</v>
      </c>
      <c r="F206" s="24" t="s">
        <v>952</v>
      </c>
      <c r="G206" s="24" t="s">
        <v>965</v>
      </c>
      <c r="H206" s="24" t="s">
        <v>966</v>
      </c>
      <c r="I206" s="24" t="s">
        <v>24</v>
      </c>
      <c r="J206" s="23" t="s">
        <v>967</v>
      </c>
      <c r="K206" s="23" t="s">
        <v>968</v>
      </c>
      <c r="L206" s="21" t="s">
        <v>15</v>
      </c>
      <c r="M206" s="25">
        <f t="shared" si="3"/>
        <v>1</v>
      </c>
      <c r="N206" s="21"/>
    </row>
    <row r="207" s="3" customFormat="1" ht="39" spans="1:14">
      <c r="A207" s="27"/>
      <c r="B207" s="21"/>
      <c r="C207" s="22" t="s">
        <v>969</v>
      </c>
      <c r="D207" s="22" t="s">
        <v>970</v>
      </c>
      <c r="E207" s="23" t="s">
        <v>524</v>
      </c>
      <c r="F207" s="24" t="s">
        <v>971</v>
      </c>
      <c r="G207" s="24" t="s">
        <v>972</v>
      </c>
      <c r="H207" s="24" t="s">
        <v>973</v>
      </c>
      <c r="I207" s="24" t="s">
        <v>22</v>
      </c>
      <c r="J207" s="23" t="s">
        <v>974</v>
      </c>
      <c r="K207" s="23" t="s">
        <v>975</v>
      </c>
      <c r="L207" s="21" t="s">
        <v>15</v>
      </c>
      <c r="M207" s="25">
        <f t="shared" si="3"/>
        <v>1</v>
      </c>
      <c r="N207" s="21"/>
    </row>
    <row r="208" s="3" customFormat="1" ht="26" spans="1:14">
      <c r="A208" s="27"/>
      <c r="B208" s="21"/>
      <c r="C208" s="28"/>
      <c r="D208" s="28"/>
      <c r="E208" s="23" t="s">
        <v>524</v>
      </c>
      <c r="F208" s="24" t="s">
        <v>971</v>
      </c>
      <c r="G208" s="24" t="s">
        <v>976</v>
      </c>
      <c r="H208" s="24" t="s">
        <v>977</v>
      </c>
      <c r="I208" s="24" t="s">
        <v>26</v>
      </c>
      <c r="J208" s="23" t="s">
        <v>137</v>
      </c>
      <c r="K208" s="23" t="s">
        <v>978</v>
      </c>
      <c r="L208" s="21" t="s">
        <v>15</v>
      </c>
      <c r="M208" s="25">
        <f t="shared" si="3"/>
        <v>1</v>
      </c>
      <c r="N208" s="21"/>
    </row>
    <row r="209" s="3" customFormat="1" ht="39" spans="1:14">
      <c r="A209" s="27"/>
      <c r="B209" s="21"/>
      <c r="C209" s="28"/>
      <c r="D209" s="28"/>
      <c r="E209" s="23" t="s">
        <v>524</v>
      </c>
      <c r="F209" s="24" t="s">
        <v>971</v>
      </c>
      <c r="G209" s="24" t="s">
        <v>979</v>
      </c>
      <c r="H209" s="24" t="s">
        <v>980</v>
      </c>
      <c r="I209" s="24" t="s">
        <v>28</v>
      </c>
      <c r="J209" s="23" t="s">
        <v>141</v>
      </c>
      <c r="K209" s="23" t="s">
        <v>981</v>
      </c>
      <c r="L209" s="21" t="s">
        <v>15</v>
      </c>
      <c r="M209" s="25">
        <f t="shared" si="3"/>
        <v>1</v>
      </c>
      <c r="N209" s="21"/>
    </row>
    <row r="210" s="3" customFormat="1" ht="26" spans="1:14">
      <c r="A210" s="27"/>
      <c r="B210" s="21"/>
      <c r="C210" s="29"/>
      <c r="D210" s="29"/>
      <c r="E210" s="23" t="s">
        <v>524</v>
      </c>
      <c r="F210" s="24" t="s">
        <v>971</v>
      </c>
      <c r="G210" s="24" t="s">
        <v>982</v>
      </c>
      <c r="H210" s="24" t="s">
        <v>983</v>
      </c>
      <c r="I210" s="24" t="s">
        <v>24</v>
      </c>
      <c r="J210" s="23" t="s">
        <v>145</v>
      </c>
      <c r="K210" s="23" t="s">
        <v>984</v>
      </c>
      <c r="L210" s="21" t="s">
        <v>15</v>
      </c>
      <c r="M210" s="25">
        <f t="shared" si="3"/>
        <v>1</v>
      </c>
      <c r="N210" s="21"/>
    </row>
    <row r="211" s="3" customFormat="1" ht="26" spans="1:14">
      <c r="A211" s="27"/>
      <c r="B211" s="21"/>
      <c r="C211" s="22" t="s">
        <v>985</v>
      </c>
      <c r="D211" s="22" t="s">
        <v>986</v>
      </c>
      <c r="E211" s="23" t="s">
        <v>524</v>
      </c>
      <c r="F211" s="24" t="s">
        <v>987</v>
      </c>
      <c r="G211" s="24" t="s">
        <v>988</v>
      </c>
      <c r="H211" s="24" t="s">
        <v>989</v>
      </c>
      <c r="I211" s="24" t="s">
        <v>22</v>
      </c>
      <c r="J211" s="23" t="s">
        <v>990</v>
      </c>
      <c r="K211" s="23" t="s">
        <v>991</v>
      </c>
      <c r="L211" s="21" t="s">
        <v>15</v>
      </c>
      <c r="M211" s="25">
        <f t="shared" si="3"/>
        <v>1</v>
      </c>
      <c r="N211" s="21"/>
    </row>
    <row r="212" s="3" customFormat="1" ht="39" spans="1:14">
      <c r="A212" s="27"/>
      <c r="B212" s="21"/>
      <c r="C212" s="28"/>
      <c r="D212" s="28"/>
      <c r="E212" s="23" t="s">
        <v>524</v>
      </c>
      <c r="F212" s="24" t="s">
        <v>987</v>
      </c>
      <c r="G212" s="24" t="s">
        <v>992</v>
      </c>
      <c r="H212" s="24" t="s">
        <v>993</v>
      </c>
      <c r="I212" s="24" t="s">
        <v>28</v>
      </c>
      <c r="J212" s="23" t="s">
        <v>994</v>
      </c>
      <c r="K212" s="23" t="s">
        <v>995</v>
      </c>
      <c r="L212" s="21" t="s">
        <v>15</v>
      </c>
      <c r="M212" s="25">
        <f t="shared" si="3"/>
        <v>1</v>
      </c>
      <c r="N212" s="21"/>
    </row>
    <row r="213" s="3" customFormat="1" ht="26" spans="1:14">
      <c r="A213" s="27"/>
      <c r="B213" s="21"/>
      <c r="C213" s="29"/>
      <c r="D213" s="29"/>
      <c r="E213" s="23" t="s">
        <v>524</v>
      </c>
      <c r="F213" s="24" t="s">
        <v>987</v>
      </c>
      <c r="G213" s="24" t="s">
        <v>996</v>
      </c>
      <c r="H213" s="24" t="s">
        <v>997</v>
      </c>
      <c r="I213" s="24" t="s">
        <v>24</v>
      </c>
      <c r="J213" s="23" t="s">
        <v>998</v>
      </c>
      <c r="K213" s="23" t="s">
        <v>999</v>
      </c>
      <c r="L213" s="21" t="s">
        <v>15</v>
      </c>
      <c r="M213" s="25">
        <f t="shared" si="3"/>
        <v>1</v>
      </c>
      <c r="N213" s="21"/>
    </row>
    <row r="214" s="3" customFormat="1" ht="26" spans="1:14">
      <c r="A214" s="27"/>
      <c r="B214" s="21"/>
      <c r="C214" s="22" t="s">
        <v>1000</v>
      </c>
      <c r="D214" s="22" t="s">
        <v>1001</v>
      </c>
      <c r="E214" s="23" t="s">
        <v>524</v>
      </c>
      <c r="F214" s="24" t="s">
        <v>1002</v>
      </c>
      <c r="G214" s="24" t="s">
        <v>1003</v>
      </c>
      <c r="H214" s="24" t="s">
        <v>1004</v>
      </c>
      <c r="I214" s="24" t="s">
        <v>22</v>
      </c>
      <c r="J214" s="23" t="s">
        <v>1003</v>
      </c>
      <c r="K214" s="23" t="s">
        <v>1005</v>
      </c>
      <c r="L214" s="21" t="s">
        <v>15</v>
      </c>
      <c r="M214" s="25">
        <f t="shared" si="3"/>
        <v>1</v>
      </c>
      <c r="N214" s="21"/>
    </row>
    <row r="215" s="3" customFormat="1" ht="39" spans="1:14">
      <c r="A215" s="27"/>
      <c r="B215" s="21"/>
      <c r="C215" s="28"/>
      <c r="D215" s="28"/>
      <c r="E215" s="23" t="s">
        <v>524</v>
      </c>
      <c r="F215" s="24" t="s">
        <v>1002</v>
      </c>
      <c r="G215" s="24" t="s">
        <v>1006</v>
      </c>
      <c r="H215" s="24" t="s">
        <v>1007</v>
      </c>
      <c r="I215" s="24" t="s">
        <v>26</v>
      </c>
      <c r="J215" s="23" t="s">
        <v>1008</v>
      </c>
      <c r="K215" s="23" t="s">
        <v>1009</v>
      </c>
      <c r="L215" s="21" t="s">
        <v>15</v>
      </c>
      <c r="M215" s="25">
        <f t="shared" si="3"/>
        <v>1</v>
      </c>
      <c r="N215" s="21"/>
    </row>
    <row r="216" s="3" customFormat="1" ht="39" spans="1:14">
      <c r="A216" s="27"/>
      <c r="B216" s="21"/>
      <c r="C216" s="28"/>
      <c r="D216" s="28"/>
      <c r="E216" s="23" t="s">
        <v>524</v>
      </c>
      <c r="F216" s="24" t="s">
        <v>1002</v>
      </c>
      <c r="G216" s="24" t="s">
        <v>1010</v>
      </c>
      <c r="H216" s="24" t="s">
        <v>1011</v>
      </c>
      <c r="I216" s="24" t="s">
        <v>28</v>
      </c>
      <c r="J216" s="23" t="s">
        <v>1012</v>
      </c>
      <c r="K216" s="23" t="s">
        <v>1013</v>
      </c>
      <c r="L216" s="21" t="s">
        <v>15</v>
      </c>
      <c r="M216" s="25">
        <f t="shared" si="3"/>
        <v>1</v>
      </c>
      <c r="N216" s="21"/>
    </row>
    <row r="217" s="3" customFormat="1" ht="26" spans="1:14">
      <c r="A217" s="27"/>
      <c r="B217" s="21"/>
      <c r="C217" s="29"/>
      <c r="D217" s="29"/>
      <c r="E217" s="23" t="s">
        <v>524</v>
      </c>
      <c r="F217" s="24" t="s">
        <v>1002</v>
      </c>
      <c r="G217" s="24" t="s">
        <v>1014</v>
      </c>
      <c r="H217" s="24" t="s">
        <v>1015</v>
      </c>
      <c r="I217" s="24" t="s">
        <v>24</v>
      </c>
      <c r="J217" s="23" t="s">
        <v>1016</v>
      </c>
      <c r="K217" s="23" t="s">
        <v>1017</v>
      </c>
      <c r="L217" s="21" t="s">
        <v>15</v>
      </c>
      <c r="M217" s="25">
        <f t="shared" si="3"/>
        <v>1</v>
      </c>
      <c r="N217" s="21"/>
    </row>
    <row r="218" s="3" customFormat="1" ht="26" spans="1:14">
      <c r="A218" s="27"/>
      <c r="B218" s="21"/>
      <c r="C218" s="22" t="s">
        <v>1018</v>
      </c>
      <c r="D218" s="22" t="s">
        <v>1019</v>
      </c>
      <c r="E218" s="23" t="s">
        <v>524</v>
      </c>
      <c r="F218" s="24" t="s">
        <v>1020</v>
      </c>
      <c r="G218" s="24" t="s">
        <v>1021</v>
      </c>
      <c r="H218" s="24" t="s">
        <v>1022</v>
      </c>
      <c r="I218" s="24" t="s">
        <v>22</v>
      </c>
      <c r="J218" s="23" t="s">
        <v>1023</v>
      </c>
      <c r="K218" s="23" t="s">
        <v>1024</v>
      </c>
      <c r="L218" s="21" t="s">
        <v>15</v>
      </c>
      <c r="M218" s="25">
        <f t="shared" si="3"/>
        <v>1</v>
      </c>
      <c r="N218" s="21"/>
    </row>
    <row r="219" s="3" customFormat="1" ht="39" spans="1:14">
      <c r="A219" s="27"/>
      <c r="B219" s="21"/>
      <c r="C219" s="28"/>
      <c r="D219" s="28"/>
      <c r="E219" s="23" t="s">
        <v>524</v>
      </c>
      <c r="F219" s="24" t="s">
        <v>1020</v>
      </c>
      <c r="G219" s="24" t="s">
        <v>1025</v>
      </c>
      <c r="H219" s="24" t="s">
        <v>1026</v>
      </c>
      <c r="I219" s="24" t="s">
        <v>26</v>
      </c>
      <c r="J219" s="23" t="s">
        <v>1027</v>
      </c>
      <c r="K219" s="23" t="s">
        <v>1028</v>
      </c>
      <c r="L219" s="21" t="s">
        <v>15</v>
      </c>
      <c r="M219" s="25">
        <f t="shared" si="3"/>
        <v>1</v>
      </c>
      <c r="N219" s="21"/>
    </row>
    <row r="220" s="3" customFormat="1" ht="39" spans="1:14">
      <c r="A220" s="27"/>
      <c r="B220" s="21"/>
      <c r="C220" s="28"/>
      <c r="D220" s="28"/>
      <c r="E220" s="23" t="s">
        <v>524</v>
      </c>
      <c r="F220" s="24" t="s">
        <v>1020</v>
      </c>
      <c r="G220" s="24" t="s">
        <v>1029</v>
      </c>
      <c r="H220" s="24" t="s">
        <v>1030</v>
      </c>
      <c r="I220" s="24" t="s">
        <v>28</v>
      </c>
      <c r="J220" s="23" t="s">
        <v>1031</v>
      </c>
      <c r="K220" s="23" t="s">
        <v>1032</v>
      </c>
      <c r="L220" s="21" t="s">
        <v>15</v>
      </c>
      <c r="M220" s="25">
        <f t="shared" si="3"/>
        <v>1</v>
      </c>
      <c r="N220" s="21"/>
    </row>
    <row r="221" s="3" customFormat="1" ht="26" spans="1:14">
      <c r="A221" s="27"/>
      <c r="B221" s="21"/>
      <c r="C221" s="29"/>
      <c r="D221" s="29"/>
      <c r="E221" s="23" t="s">
        <v>524</v>
      </c>
      <c r="F221" s="24" t="s">
        <v>1020</v>
      </c>
      <c r="G221" s="24" t="s">
        <v>1033</v>
      </c>
      <c r="H221" s="24" t="s">
        <v>1034</v>
      </c>
      <c r="I221" s="24" t="s">
        <v>24</v>
      </c>
      <c r="J221" s="23" t="s">
        <v>1035</v>
      </c>
      <c r="K221" s="23" t="s">
        <v>1036</v>
      </c>
      <c r="L221" s="21" t="s">
        <v>15</v>
      </c>
      <c r="M221" s="25">
        <f t="shared" si="3"/>
        <v>1</v>
      </c>
      <c r="N221" s="21"/>
    </row>
    <row r="222" s="3" customFormat="1" ht="39" spans="1:14">
      <c r="A222" s="27"/>
      <c r="B222" s="21"/>
      <c r="C222" s="22" t="s">
        <v>1037</v>
      </c>
      <c r="D222" s="22" t="s">
        <v>1037</v>
      </c>
      <c r="E222" s="23" t="s">
        <v>932</v>
      </c>
      <c r="F222" s="24" t="s">
        <v>1038</v>
      </c>
      <c r="G222" s="24" t="s">
        <v>1039</v>
      </c>
      <c r="H222" s="24" t="s">
        <v>1040</v>
      </c>
      <c r="I222" s="24" t="s">
        <v>22</v>
      </c>
      <c r="J222" s="23" t="s">
        <v>1041</v>
      </c>
      <c r="K222" s="23" t="s">
        <v>1042</v>
      </c>
      <c r="L222" s="21" t="s">
        <v>15</v>
      </c>
      <c r="M222" s="25">
        <f t="shared" si="3"/>
        <v>1</v>
      </c>
      <c r="N222" s="21"/>
    </row>
    <row r="223" s="3" customFormat="1" ht="39" spans="1:14">
      <c r="A223" s="27"/>
      <c r="B223" s="21"/>
      <c r="C223" s="28"/>
      <c r="D223" s="28"/>
      <c r="E223" s="23" t="s">
        <v>932</v>
      </c>
      <c r="F223" s="24" t="s">
        <v>1038</v>
      </c>
      <c r="G223" s="24" t="s">
        <v>1043</v>
      </c>
      <c r="H223" s="24" t="s">
        <v>1044</v>
      </c>
      <c r="I223" s="24" t="s">
        <v>26</v>
      </c>
      <c r="J223" s="23" t="s">
        <v>1045</v>
      </c>
      <c r="K223" s="23" t="s">
        <v>1046</v>
      </c>
      <c r="L223" s="21" t="s">
        <v>15</v>
      </c>
      <c r="M223" s="25">
        <f t="shared" si="3"/>
        <v>1</v>
      </c>
      <c r="N223" s="21"/>
    </row>
    <row r="224" s="3" customFormat="1" ht="39" spans="1:14">
      <c r="A224" s="27"/>
      <c r="B224" s="21"/>
      <c r="C224" s="28"/>
      <c r="D224" s="28"/>
      <c r="E224" s="23" t="s">
        <v>932</v>
      </c>
      <c r="F224" s="24" t="s">
        <v>1038</v>
      </c>
      <c r="G224" s="24" t="s">
        <v>1047</v>
      </c>
      <c r="H224" s="24" t="s">
        <v>1048</v>
      </c>
      <c r="I224" s="24" t="s">
        <v>28</v>
      </c>
      <c r="J224" s="23" t="s">
        <v>1049</v>
      </c>
      <c r="K224" s="23" t="s">
        <v>1050</v>
      </c>
      <c r="L224" s="21" t="s">
        <v>15</v>
      </c>
      <c r="M224" s="25">
        <f t="shared" si="3"/>
        <v>1</v>
      </c>
      <c r="N224" s="21"/>
    </row>
    <row r="225" s="3" customFormat="1" ht="26" spans="1:14">
      <c r="A225" s="27"/>
      <c r="B225" s="21"/>
      <c r="C225" s="29"/>
      <c r="D225" s="29"/>
      <c r="E225" s="23" t="s">
        <v>932</v>
      </c>
      <c r="F225" s="24" t="s">
        <v>1038</v>
      </c>
      <c r="G225" s="24" t="s">
        <v>1051</v>
      </c>
      <c r="H225" s="24" t="s">
        <v>1052</v>
      </c>
      <c r="I225" s="24" t="s">
        <v>24</v>
      </c>
      <c r="J225" s="23" t="s">
        <v>1053</v>
      </c>
      <c r="K225" s="23" t="s">
        <v>1054</v>
      </c>
      <c r="L225" s="20" t="s">
        <v>15</v>
      </c>
      <c r="M225" s="25">
        <f t="shared" si="3"/>
        <v>1</v>
      </c>
      <c r="N225" s="21"/>
    </row>
    <row r="226" s="3" customFormat="1" ht="39" spans="1:14">
      <c r="A226" s="27"/>
      <c r="B226" s="21"/>
      <c r="C226" s="22" t="s">
        <v>1055</v>
      </c>
      <c r="D226" s="22" t="s">
        <v>1056</v>
      </c>
      <c r="E226" s="24" t="s">
        <v>524</v>
      </c>
      <c r="F226" s="24" t="s">
        <v>1057</v>
      </c>
      <c r="G226" s="24" t="s">
        <v>1058</v>
      </c>
      <c r="H226" s="24" t="s">
        <v>1059</v>
      </c>
      <c r="I226" s="24" t="s">
        <v>22</v>
      </c>
      <c r="J226" s="24" t="s">
        <v>1060</v>
      </c>
      <c r="K226" s="24" t="s">
        <v>1061</v>
      </c>
      <c r="L226" s="24" t="s">
        <v>17</v>
      </c>
      <c r="M226" s="25">
        <f t="shared" si="3"/>
        <v>0.333333333333333</v>
      </c>
      <c r="N226" s="21"/>
    </row>
    <row r="227" s="3" customFormat="1" ht="39" spans="1:14">
      <c r="A227" s="27"/>
      <c r="B227" s="21"/>
      <c r="C227" s="28"/>
      <c r="D227" s="28"/>
      <c r="E227" s="24" t="s">
        <v>524</v>
      </c>
      <c r="F227" s="24" t="s">
        <v>1057</v>
      </c>
      <c r="G227" s="24" t="s">
        <v>1062</v>
      </c>
      <c r="H227" s="24" t="s">
        <v>1063</v>
      </c>
      <c r="I227" s="24" t="s">
        <v>26</v>
      </c>
      <c r="J227" s="24" t="s">
        <v>1064</v>
      </c>
      <c r="K227" s="24" t="s">
        <v>1065</v>
      </c>
      <c r="L227" s="24" t="s">
        <v>17</v>
      </c>
      <c r="M227" s="25">
        <f t="shared" si="3"/>
        <v>0.333333333333333</v>
      </c>
      <c r="N227" s="21"/>
    </row>
    <row r="228" s="3" customFormat="1" ht="39" spans="1:14">
      <c r="A228" s="27"/>
      <c r="B228" s="21"/>
      <c r="C228" s="28"/>
      <c r="D228" s="28"/>
      <c r="E228" s="24" t="s">
        <v>524</v>
      </c>
      <c r="F228" s="24" t="s">
        <v>1057</v>
      </c>
      <c r="G228" s="24" t="s">
        <v>1066</v>
      </c>
      <c r="H228" s="24" t="s">
        <v>1067</v>
      </c>
      <c r="I228" s="24" t="s">
        <v>28</v>
      </c>
      <c r="J228" s="24" t="s">
        <v>1068</v>
      </c>
      <c r="K228" s="24" t="s">
        <v>1069</v>
      </c>
      <c r="L228" s="24" t="s">
        <v>17</v>
      </c>
      <c r="M228" s="25">
        <f t="shared" si="3"/>
        <v>0.333333333333333</v>
      </c>
      <c r="N228" s="21"/>
    </row>
    <row r="229" s="3" customFormat="1" ht="39" spans="1:14">
      <c r="A229" s="27"/>
      <c r="B229" s="21"/>
      <c r="C229" s="29"/>
      <c r="D229" s="29"/>
      <c r="E229" s="24" t="s">
        <v>524</v>
      </c>
      <c r="F229" s="24" t="s">
        <v>1057</v>
      </c>
      <c r="G229" s="24" t="s">
        <v>1070</v>
      </c>
      <c r="H229" s="24" t="s">
        <v>1071</v>
      </c>
      <c r="I229" s="24" t="s">
        <v>24</v>
      </c>
      <c r="J229" s="24" t="s">
        <v>1072</v>
      </c>
      <c r="K229" s="24" t="s">
        <v>1073</v>
      </c>
      <c r="L229" s="24" t="s">
        <v>17</v>
      </c>
      <c r="M229" s="25">
        <f t="shared" si="3"/>
        <v>0.333333333333333</v>
      </c>
      <c r="N229" s="21"/>
    </row>
    <row r="230" s="3" customFormat="1" ht="39" spans="1:14">
      <c r="A230" s="27"/>
      <c r="B230" s="21"/>
      <c r="C230" s="22" t="s">
        <v>1074</v>
      </c>
      <c r="D230" s="22" t="s">
        <v>504</v>
      </c>
      <c r="E230" s="24" t="s">
        <v>932</v>
      </c>
      <c r="F230" s="24" t="s">
        <v>1075</v>
      </c>
      <c r="G230" s="24" t="s">
        <v>1076</v>
      </c>
      <c r="H230" s="24" t="s">
        <v>507</v>
      </c>
      <c r="I230" s="24" t="s">
        <v>22</v>
      </c>
      <c r="J230" s="24" t="s">
        <v>508</v>
      </c>
      <c r="K230" s="24" t="s">
        <v>1077</v>
      </c>
      <c r="L230" s="24" t="s">
        <v>17</v>
      </c>
      <c r="M230" s="25">
        <f t="shared" si="3"/>
        <v>0.333333333333333</v>
      </c>
      <c r="N230" s="21"/>
    </row>
    <row r="231" s="3" customFormat="1" ht="39" spans="1:14">
      <c r="A231" s="27"/>
      <c r="B231" s="21"/>
      <c r="C231" s="28"/>
      <c r="D231" s="28"/>
      <c r="E231" s="24" t="s">
        <v>932</v>
      </c>
      <c r="F231" s="24" t="s">
        <v>1075</v>
      </c>
      <c r="G231" s="24" t="s">
        <v>1078</v>
      </c>
      <c r="H231" s="24" t="s">
        <v>511</v>
      </c>
      <c r="I231" s="24" t="s">
        <v>26</v>
      </c>
      <c r="J231" s="24" t="s">
        <v>512</v>
      </c>
      <c r="K231" s="24" t="s">
        <v>1079</v>
      </c>
      <c r="L231" s="24" t="s">
        <v>17</v>
      </c>
      <c r="M231" s="25">
        <f t="shared" si="3"/>
        <v>0.333333333333333</v>
      </c>
      <c r="N231" s="21"/>
    </row>
    <row r="232" s="3" customFormat="1" ht="39" spans="1:14">
      <c r="A232" s="27"/>
      <c r="B232" s="21"/>
      <c r="C232" s="28"/>
      <c r="D232" s="28"/>
      <c r="E232" s="24" t="s">
        <v>932</v>
      </c>
      <c r="F232" s="24" t="s">
        <v>1075</v>
      </c>
      <c r="G232" s="24" t="s">
        <v>1080</v>
      </c>
      <c r="H232" s="24" t="s">
        <v>515</v>
      </c>
      <c r="I232" s="24" t="s">
        <v>28</v>
      </c>
      <c r="J232" s="24" t="s">
        <v>516</v>
      </c>
      <c r="K232" s="24" t="s">
        <v>1081</v>
      </c>
      <c r="L232" s="24" t="s">
        <v>17</v>
      </c>
      <c r="M232" s="25">
        <f t="shared" si="3"/>
        <v>0.333333333333333</v>
      </c>
      <c r="N232" s="21"/>
    </row>
    <row r="233" s="3" customFormat="1" ht="39" spans="1:14">
      <c r="A233" s="27"/>
      <c r="B233" s="21"/>
      <c r="C233" s="28"/>
      <c r="D233" s="29"/>
      <c r="E233" s="24" t="s">
        <v>932</v>
      </c>
      <c r="F233" s="24" t="s">
        <v>1075</v>
      </c>
      <c r="G233" s="24" t="s">
        <v>1082</v>
      </c>
      <c r="H233" s="24" t="s">
        <v>519</v>
      </c>
      <c r="I233" s="24" t="s">
        <v>24</v>
      </c>
      <c r="J233" s="24" t="s">
        <v>520</v>
      </c>
      <c r="K233" s="24" t="s">
        <v>1083</v>
      </c>
      <c r="L233" s="24" t="s">
        <v>17</v>
      </c>
      <c r="M233" s="25">
        <f t="shared" si="3"/>
        <v>0.333333333333333</v>
      </c>
      <c r="N233" s="21"/>
    </row>
    <row r="234" s="3" customFormat="1" ht="39" spans="1:14">
      <c r="A234" s="27"/>
      <c r="B234" s="21"/>
      <c r="C234" s="28"/>
      <c r="D234" s="22" t="s">
        <v>1084</v>
      </c>
      <c r="E234" s="24" t="s">
        <v>932</v>
      </c>
      <c r="F234" s="24" t="s">
        <v>1085</v>
      </c>
      <c r="G234" s="24" t="s">
        <v>1086</v>
      </c>
      <c r="H234" s="24" t="s">
        <v>1087</v>
      </c>
      <c r="I234" s="24" t="s">
        <v>22</v>
      </c>
      <c r="J234" s="24" t="s">
        <v>1088</v>
      </c>
      <c r="K234" s="24" t="s">
        <v>1089</v>
      </c>
      <c r="L234" s="24" t="s">
        <v>17</v>
      </c>
      <c r="M234" s="25">
        <f t="shared" si="3"/>
        <v>0.333333333333333</v>
      </c>
      <c r="N234" s="21"/>
    </row>
    <row r="235" s="3" customFormat="1" ht="39" spans="1:14">
      <c r="A235" s="27"/>
      <c r="B235" s="21"/>
      <c r="C235" s="28"/>
      <c r="D235" s="28"/>
      <c r="E235" s="24" t="s">
        <v>932</v>
      </c>
      <c r="F235" s="24" t="s">
        <v>1085</v>
      </c>
      <c r="G235" s="24" t="s">
        <v>1090</v>
      </c>
      <c r="H235" s="24" t="s">
        <v>1091</v>
      </c>
      <c r="I235" s="24" t="s">
        <v>26</v>
      </c>
      <c r="J235" s="24" t="s">
        <v>1092</v>
      </c>
      <c r="K235" s="24" t="s">
        <v>1093</v>
      </c>
      <c r="L235" s="24" t="s">
        <v>17</v>
      </c>
      <c r="M235" s="25">
        <f t="shared" si="3"/>
        <v>0.333333333333333</v>
      </c>
      <c r="N235" s="21"/>
    </row>
    <row r="236" s="3" customFormat="1" ht="39" spans="1:14">
      <c r="A236" s="27"/>
      <c r="B236" s="21"/>
      <c r="C236" s="28"/>
      <c r="D236" s="28"/>
      <c r="E236" s="24" t="s">
        <v>932</v>
      </c>
      <c r="F236" s="24" t="s">
        <v>1085</v>
      </c>
      <c r="G236" s="24" t="s">
        <v>1094</v>
      </c>
      <c r="H236" s="24" t="s">
        <v>1095</v>
      </c>
      <c r="I236" s="24" t="s">
        <v>28</v>
      </c>
      <c r="J236" s="24" t="s">
        <v>1096</v>
      </c>
      <c r="K236" s="24" t="s">
        <v>1097</v>
      </c>
      <c r="L236" s="24" t="s">
        <v>17</v>
      </c>
      <c r="M236" s="25">
        <f t="shared" si="3"/>
        <v>0.333333333333333</v>
      </c>
      <c r="N236" s="21"/>
    </row>
    <row r="237" s="3" customFormat="1" ht="39" spans="1:14">
      <c r="A237" s="27"/>
      <c r="B237" s="21"/>
      <c r="C237" s="29"/>
      <c r="D237" s="29"/>
      <c r="E237" s="24" t="s">
        <v>932</v>
      </c>
      <c r="F237" s="24" t="s">
        <v>1085</v>
      </c>
      <c r="G237" s="24" t="s">
        <v>1098</v>
      </c>
      <c r="H237" s="24" t="s">
        <v>1099</v>
      </c>
      <c r="I237" s="24" t="s">
        <v>24</v>
      </c>
      <c r="J237" s="24" t="s">
        <v>1100</v>
      </c>
      <c r="K237" s="24" t="s">
        <v>1101</v>
      </c>
      <c r="L237" s="24" t="s">
        <v>17</v>
      </c>
      <c r="M237" s="25">
        <f t="shared" si="3"/>
        <v>0.333333333333333</v>
      </c>
      <c r="N237" s="21"/>
    </row>
    <row r="238" s="3" customFormat="1" ht="39" spans="1:14">
      <c r="A238" s="27"/>
      <c r="B238" s="21"/>
      <c r="C238" s="22" t="s">
        <v>1102</v>
      </c>
      <c r="D238" s="24" t="s">
        <v>1103</v>
      </c>
      <c r="E238" s="24" t="s">
        <v>932</v>
      </c>
      <c r="F238" s="24" t="s">
        <v>1104</v>
      </c>
      <c r="G238" s="24" t="s">
        <v>1105</v>
      </c>
      <c r="H238" s="24" t="s">
        <v>1106</v>
      </c>
      <c r="I238" s="24" t="s">
        <v>22</v>
      </c>
      <c r="J238" s="24" t="s">
        <v>1107</v>
      </c>
      <c r="K238" s="24" t="s">
        <v>1108</v>
      </c>
      <c r="L238" s="24" t="s">
        <v>17</v>
      </c>
      <c r="M238" s="25">
        <f t="shared" si="3"/>
        <v>0.333333333333333</v>
      </c>
      <c r="N238" s="21"/>
    </row>
    <row r="239" s="3" customFormat="1" ht="39" spans="1:14">
      <c r="A239" s="27"/>
      <c r="B239" s="21"/>
      <c r="C239" s="28"/>
      <c r="D239" s="24" t="s">
        <v>1103</v>
      </c>
      <c r="E239" s="24" t="s">
        <v>932</v>
      </c>
      <c r="F239" s="24" t="s">
        <v>1104</v>
      </c>
      <c r="G239" s="24" t="s">
        <v>1109</v>
      </c>
      <c r="H239" s="24" t="s">
        <v>1110</v>
      </c>
      <c r="I239" s="24" t="s">
        <v>26</v>
      </c>
      <c r="J239" s="24" t="s">
        <v>1111</v>
      </c>
      <c r="K239" s="24" t="s">
        <v>1112</v>
      </c>
      <c r="L239" s="24" t="s">
        <v>17</v>
      </c>
      <c r="M239" s="25">
        <f t="shared" si="3"/>
        <v>0.333333333333333</v>
      </c>
      <c r="N239" s="21"/>
    </row>
    <row r="240" s="3" customFormat="1" ht="39" spans="1:14">
      <c r="A240" s="27"/>
      <c r="B240" s="21"/>
      <c r="C240" s="28"/>
      <c r="D240" s="24" t="s">
        <v>1103</v>
      </c>
      <c r="E240" s="24" t="s">
        <v>932</v>
      </c>
      <c r="F240" s="24" t="s">
        <v>1104</v>
      </c>
      <c r="G240" s="24" t="s">
        <v>1113</v>
      </c>
      <c r="H240" s="24" t="s">
        <v>1114</v>
      </c>
      <c r="I240" s="24" t="s">
        <v>28</v>
      </c>
      <c r="J240" s="24" t="s">
        <v>1115</v>
      </c>
      <c r="K240" s="24" t="s">
        <v>1116</v>
      </c>
      <c r="L240" s="24" t="s">
        <v>17</v>
      </c>
      <c r="M240" s="25">
        <f t="shared" si="3"/>
        <v>0.333333333333333</v>
      </c>
      <c r="N240" s="21"/>
    </row>
    <row r="241" s="3" customFormat="1" ht="39" spans="1:14">
      <c r="A241" s="27"/>
      <c r="B241" s="21"/>
      <c r="C241" s="29"/>
      <c r="D241" s="24" t="s">
        <v>1103</v>
      </c>
      <c r="E241" s="24" t="s">
        <v>932</v>
      </c>
      <c r="F241" s="24" t="s">
        <v>1104</v>
      </c>
      <c r="G241" s="24" t="s">
        <v>1117</v>
      </c>
      <c r="H241" s="24" t="s">
        <v>1118</v>
      </c>
      <c r="I241" s="24" t="s">
        <v>24</v>
      </c>
      <c r="J241" s="24" t="s">
        <v>1119</v>
      </c>
      <c r="K241" s="24" t="s">
        <v>1120</v>
      </c>
      <c r="L241" s="24" t="s">
        <v>17</v>
      </c>
      <c r="M241" s="25">
        <f t="shared" si="3"/>
        <v>0.333333333333333</v>
      </c>
      <c r="N241" s="21"/>
    </row>
    <row r="242" s="3" customFormat="1" ht="26" spans="1:14">
      <c r="A242" s="27"/>
      <c r="B242" s="21" t="s">
        <v>1121</v>
      </c>
      <c r="C242" s="22" t="s">
        <v>1122</v>
      </c>
      <c r="D242" s="22" t="s">
        <v>1123</v>
      </c>
      <c r="E242" s="24" t="s">
        <v>524</v>
      </c>
      <c r="F242" s="24" t="s">
        <v>1124</v>
      </c>
      <c r="G242" s="24" t="s">
        <v>1125</v>
      </c>
      <c r="H242" s="24" t="s">
        <v>1126</v>
      </c>
      <c r="I242" s="24" t="s">
        <v>22</v>
      </c>
      <c r="J242" s="24" t="s">
        <v>1127</v>
      </c>
      <c r="K242" s="24" t="s">
        <v>1128</v>
      </c>
      <c r="L242" s="32" t="s">
        <v>15</v>
      </c>
      <c r="M242" s="25">
        <f t="shared" si="3"/>
        <v>1</v>
      </c>
      <c r="N242" s="21"/>
    </row>
    <row r="243" s="3" customFormat="1" ht="39" spans="1:14">
      <c r="A243" s="27"/>
      <c r="B243" s="21"/>
      <c r="C243" s="28"/>
      <c r="D243" s="28"/>
      <c r="E243" s="24" t="s">
        <v>524</v>
      </c>
      <c r="F243" s="24" t="s">
        <v>1124</v>
      </c>
      <c r="G243" s="24" t="s">
        <v>1129</v>
      </c>
      <c r="H243" s="24" t="s">
        <v>1130</v>
      </c>
      <c r="I243" s="24" t="s">
        <v>26</v>
      </c>
      <c r="J243" s="24" t="s">
        <v>1131</v>
      </c>
      <c r="K243" s="24" t="s">
        <v>1132</v>
      </c>
      <c r="L243" s="32" t="s">
        <v>15</v>
      </c>
      <c r="M243" s="25">
        <f t="shared" ref="M243:M302" si="4">IF(L243="新增",1,IF(L243="复用",1/3,0))</f>
        <v>1</v>
      </c>
      <c r="N243" s="21"/>
    </row>
    <row r="244" s="3" customFormat="1" ht="26" spans="1:14">
      <c r="A244" s="27"/>
      <c r="B244" s="21"/>
      <c r="C244" s="28"/>
      <c r="D244" s="28"/>
      <c r="E244" s="24" t="s">
        <v>524</v>
      </c>
      <c r="F244" s="24" t="s">
        <v>1124</v>
      </c>
      <c r="G244" s="24" t="s">
        <v>1133</v>
      </c>
      <c r="H244" s="24" t="s">
        <v>1134</v>
      </c>
      <c r="I244" s="24" t="s">
        <v>28</v>
      </c>
      <c r="J244" s="24" t="s">
        <v>1135</v>
      </c>
      <c r="K244" s="24" t="s">
        <v>1136</v>
      </c>
      <c r="L244" s="32" t="s">
        <v>15</v>
      </c>
      <c r="M244" s="25">
        <f t="shared" si="4"/>
        <v>1</v>
      </c>
      <c r="N244" s="21"/>
    </row>
    <row r="245" s="3" customFormat="1" ht="26" spans="1:14">
      <c r="A245" s="27"/>
      <c r="B245" s="21"/>
      <c r="C245" s="29"/>
      <c r="D245" s="29"/>
      <c r="E245" s="24" t="s">
        <v>524</v>
      </c>
      <c r="F245" s="24" t="s">
        <v>1124</v>
      </c>
      <c r="G245" s="24" t="s">
        <v>1137</v>
      </c>
      <c r="H245" s="24" t="s">
        <v>1138</v>
      </c>
      <c r="I245" s="24" t="s">
        <v>24</v>
      </c>
      <c r="J245" s="24" t="s">
        <v>1139</v>
      </c>
      <c r="K245" s="24" t="s">
        <v>1140</v>
      </c>
      <c r="L245" s="32" t="s">
        <v>15</v>
      </c>
      <c r="M245" s="25">
        <f t="shared" si="4"/>
        <v>1</v>
      </c>
      <c r="N245" s="21"/>
    </row>
    <row r="246" s="3" customFormat="1" ht="26" spans="1:14">
      <c r="A246" s="27"/>
      <c r="B246" s="21"/>
      <c r="C246" s="22" t="s">
        <v>1141</v>
      </c>
      <c r="D246" s="22" t="s">
        <v>1142</v>
      </c>
      <c r="E246" s="24" t="s">
        <v>524</v>
      </c>
      <c r="F246" s="24" t="s">
        <v>1143</v>
      </c>
      <c r="G246" s="24" t="s">
        <v>1144</v>
      </c>
      <c r="H246" s="24" t="s">
        <v>1145</v>
      </c>
      <c r="I246" s="24" t="s">
        <v>22</v>
      </c>
      <c r="J246" s="24" t="s">
        <v>1146</v>
      </c>
      <c r="K246" s="24" t="s">
        <v>1147</v>
      </c>
      <c r="L246" s="32" t="s">
        <v>15</v>
      </c>
      <c r="M246" s="25">
        <f t="shared" si="4"/>
        <v>1</v>
      </c>
      <c r="N246" s="21"/>
    </row>
    <row r="247" s="3" customFormat="1" ht="39" spans="1:14">
      <c r="A247" s="27"/>
      <c r="B247" s="21"/>
      <c r="C247" s="28"/>
      <c r="D247" s="28"/>
      <c r="E247" s="24" t="s">
        <v>524</v>
      </c>
      <c r="F247" s="24" t="s">
        <v>1143</v>
      </c>
      <c r="G247" s="24" t="s">
        <v>1148</v>
      </c>
      <c r="H247" s="24" t="s">
        <v>1149</v>
      </c>
      <c r="I247" s="24" t="s">
        <v>26</v>
      </c>
      <c r="J247" s="24" t="s">
        <v>1150</v>
      </c>
      <c r="K247" s="24" t="s">
        <v>1151</v>
      </c>
      <c r="L247" s="32" t="s">
        <v>15</v>
      </c>
      <c r="M247" s="25">
        <f t="shared" si="4"/>
        <v>1</v>
      </c>
      <c r="N247" s="21"/>
    </row>
    <row r="248" s="3" customFormat="1" ht="26" spans="1:14">
      <c r="A248" s="27"/>
      <c r="B248" s="21"/>
      <c r="C248" s="28"/>
      <c r="D248" s="28"/>
      <c r="E248" s="24" t="s">
        <v>524</v>
      </c>
      <c r="F248" s="24" t="s">
        <v>1143</v>
      </c>
      <c r="G248" s="24" t="s">
        <v>1152</v>
      </c>
      <c r="H248" s="24" t="s">
        <v>1153</v>
      </c>
      <c r="I248" s="24" t="s">
        <v>28</v>
      </c>
      <c r="J248" s="24" t="s">
        <v>1154</v>
      </c>
      <c r="K248" s="24" t="s">
        <v>1155</v>
      </c>
      <c r="L248" s="32" t="s">
        <v>15</v>
      </c>
      <c r="M248" s="25">
        <f t="shared" si="4"/>
        <v>1</v>
      </c>
      <c r="N248" s="21"/>
    </row>
    <row r="249" s="3" customFormat="1" ht="26" spans="1:14">
      <c r="A249" s="27"/>
      <c r="B249" s="21"/>
      <c r="C249" s="29"/>
      <c r="D249" s="29"/>
      <c r="E249" s="24" t="s">
        <v>524</v>
      </c>
      <c r="F249" s="24" t="s">
        <v>1143</v>
      </c>
      <c r="G249" s="24" t="s">
        <v>1156</v>
      </c>
      <c r="H249" s="24" t="s">
        <v>1157</v>
      </c>
      <c r="I249" s="24" t="s">
        <v>24</v>
      </c>
      <c r="J249" s="24" t="s">
        <v>1158</v>
      </c>
      <c r="K249" s="24" t="s">
        <v>1159</v>
      </c>
      <c r="L249" s="32" t="s">
        <v>15</v>
      </c>
      <c r="M249" s="25">
        <f t="shared" si="4"/>
        <v>1</v>
      </c>
      <c r="N249" s="21"/>
    </row>
    <row r="250" s="3" customFormat="1" ht="26" spans="1:14">
      <c r="A250" s="27"/>
      <c r="B250" s="21"/>
      <c r="C250" s="22" t="s">
        <v>1160</v>
      </c>
      <c r="D250" s="22" t="s">
        <v>1161</v>
      </c>
      <c r="E250" s="24" t="s">
        <v>524</v>
      </c>
      <c r="F250" s="24" t="s">
        <v>1162</v>
      </c>
      <c r="G250" s="24" t="s">
        <v>1163</v>
      </c>
      <c r="H250" s="24" t="s">
        <v>1164</v>
      </c>
      <c r="I250" s="24" t="s">
        <v>22</v>
      </c>
      <c r="J250" s="24" t="s">
        <v>1165</v>
      </c>
      <c r="K250" s="24" t="s">
        <v>1166</v>
      </c>
      <c r="L250" s="32" t="s">
        <v>15</v>
      </c>
      <c r="M250" s="25">
        <f t="shared" si="4"/>
        <v>1</v>
      </c>
      <c r="N250" s="21"/>
    </row>
    <row r="251" s="3" customFormat="1" ht="39" spans="1:14">
      <c r="A251" s="27"/>
      <c r="B251" s="21"/>
      <c r="C251" s="28"/>
      <c r="D251" s="28"/>
      <c r="E251" s="24" t="s">
        <v>524</v>
      </c>
      <c r="F251" s="24" t="s">
        <v>1162</v>
      </c>
      <c r="G251" s="24" t="s">
        <v>1167</v>
      </c>
      <c r="H251" s="24" t="s">
        <v>1168</v>
      </c>
      <c r="I251" s="24" t="s">
        <v>26</v>
      </c>
      <c r="J251" s="24" t="s">
        <v>1169</v>
      </c>
      <c r="K251" s="24" t="s">
        <v>1170</v>
      </c>
      <c r="L251" s="32" t="s">
        <v>15</v>
      </c>
      <c r="M251" s="25">
        <f t="shared" si="4"/>
        <v>1</v>
      </c>
      <c r="N251" s="21"/>
    </row>
    <row r="252" s="3" customFormat="1" ht="26" spans="1:14">
      <c r="A252" s="27"/>
      <c r="B252" s="21"/>
      <c r="C252" s="28"/>
      <c r="D252" s="28"/>
      <c r="E252" s="24" t="s">
        <v>524</v>
      </c>
      <c r="F252" s="24" t="s">
        <v>1162</v>
      </c>
      <c r="G252" s="24" t="s">
        <v>1171</v>
      </c>
      <c r="H252" s="24" t="s">
        <v>1172</v>
      </c>
      <c r="I252" s="24" t="s">
        <v>28</v>
      </c>
      <c r="J252" s="24" t="s">
        <v>1173</v>
      </c>
      <c r="K252" s="24" t="s">
        <v>1174</v>
      </c>
      <c r="L252" s="32" t="s">
        <v>15</v>
      </c>
      <c r="M252" s="25">
        <f t="shared" si="4"/>
        <v>1</v>
      </c>
      <c r="N252" s="21"/>
    </row>
    <row r="253" s="3" customFormat="1" ht="26" spans="1:14">
      <c r="A253" s="27"/>
      <c r="B253" s="21"/>
      <c r="C253" s="29"/>
      <c r="D253" s="29"/>
      <c r="E253" s="24" t="s">
        <v>524</v>
      </c>
      <c r="F253" s="24" t="s">
        <v>1162</v>
      </c>
      <c r="G253" s="24" t="s">
        <v>1175</v>
      </c>
      <c r="H253" s="24" t="s">
        <v>1176</v>
      </c>
      <c r="I253" s="24" t="s">
        <v>24</v>
      </c>
      <c r="J253" s="24" t="s">
        <v>1177</v>
      </c>
      <c r="K253" s="24" t="s">
        <v>1178</v>
      </c>
      <c r="L253" s="32" t="s">
        <v>15</v>
      </c>
      <c r="M253" s="25">
        <f t="shared" si="4"/>
        <v>1</v>
      </c>
      <c r="N253" s="21"/>
    </row>
    <row r="254" s="3" customFormat="1" ht="26" spans="1:14">
      <c r="A254" s="27"/>
      <c r="B254" s="21"/>
      <c r="C254" s="22" t="s">
        <v>1179</v>
      </c>
      <c r="D254" s="22" t="s">
        <v>1180</v>
      </c>
      <c r="E254" s="24" t="s">
        <v>524</v>
      </c>
      <c r="F254" s="24" t="s">
        <v>1181</v>
      </c>
      <c r="G254" s="24" t="s">
        <v>1182</v>
      </c>
      <c r="H254" s="24" t="s">
        <v>1183</v>
      </c>
      <c r="I254" s="24" t="s">
        <v>22</v>
      </c>
      <c r="J254" s="24" t="s">
        <v>1184</v>
      </c>
      <c r="K254" s="24" t="s">
        <v>1185</v>
      </c>
      <c r="L254" s="32" t="s">
        <v>15</v>
      </c>
      <c r="M254" s="25">
        <f t="shared" si="4"/>
        <v>1</v>
      </c>
      <c r="N254" s="21"/>
    </row>
    <row r="255" s="3" customFormat="1" ht="39" spans="1:14">
      <c r="A255" s="27"/>
      <c r="B255" s="21"/>
      <c r="C255" s="28"/>
      <c r="D255" s="28"/>
      <c r="E255" s="24" t="s">
        <v>524</v>
      </c>
      <c r="F255" s="24" t="s">
        <v>1181</v>
      </c>
      <c r="G255" s="24" t="s">
        <v>1186</v>
      </c>
      <c r="H255" s="24" t="s">
        <v>1187</v>
      </c>
      <c r="I255" s="24" t="s">
        <v>26</v>
      </c>
      <c r="J255" s="24" t="s">
        <v>1188</v>
      </c>
      <c r="K255" s="24" t="s">
        <v>1189</v>
      </c>
      <c r="L255" s="32" t="s">
        <v>15</v>
      </c>
      <c r="M255" s="25">
        <f t="shared" si="4"/>
        <v>1</v>
      </c>
      <c r="N255" s="21"/>
    </row>
    <row r="256" s="3" customFormat="1" ht="26" spans="1:14">
      <c r="A256" s="27"/>
      <c r="B256" s="21"/>
      <c r="C256" s="28"/>
      <c r="D256" s="28"/>
      <c r="E256" s="24" t="s">
        <v>524</v>
      </c>
      <c r="F256" s="24" t="s">
        <v>1181</v>
      </c>
      <c r="G256" s="24" t="s">
        <v>1190</v>
      </c>
      <c r="H256" s="24" t="s">
        <v>1191</v>
      </c>
      <c r="I256" s="24" t="s">
        <v>28</v>
      </c>
      <c r="J256" s="24" t="s">
        <v>1192</v>
      </c>
      <c r="K256" s="24" t="s">
        <v>1193</v>
      </c>
      <c r="L256" s="32" t="s">
        <v>15</v>
      </c>
      <c r="M256" s="25">
        <f t="shared" si="4"/>
        <v>1</v>
      </c>
      <c r="N256" s="21"/>
    </row>
    <row r="257" s="3" customFormat="1" ht="39" spans="1:14">
      <c r="A257" s="27"/>
      <c r="B257" s="21"/>
      <c r="C257" s="28"/>
      <c r="D257" s="29"/>
      <c r="E257" s="24" t="s">
        <v>524</v>
      </c>
      <c r="F257" s="24" t="s">
        <v>1181</v>
      </c>
      <c r="G257" s="24" t="s">
        <v>1194</v>
      </c>
      <c r="H257" s="24" t="s">
        <v>1195</v>
      </c>
      <c r="I257" s="24" t="s">
        <v>24</v>
      </c>
      <c r="J257" s="24" t="s">
        <v>1196</v>
      </c>
      <c r="K257" s="24" t="s">
        <v>1197</v>
      </c>
      <c r="L257" s="32" t="s">
        <v>15</v>
      </c>
      <c r="M257" s="25">
        <f t="shared" si="4"/>
        <v>1</v>
      </c>
      <c r="N257" s="21"/>
    </row>
    <row r="258" s="3" customFormat="1" ht="26" spans="1:14">
      <c r="A258" s="27"/>
      <c r="B258" s="21"/>
      <c r="C258" s="28"/>
      <c r="D258" s="22" t="s">
        <v>1198</v>
      </c>
      <c r="E258" s="24" t="s">
        <v>524</v>
      </c>
      <c r="F258" s="24" t="s">
        <v>1199</v>
      </c>
      <c r="G258" s="24" t="s">
        <v>1200</v>
      </c>
      <c r="H258" s="24" t="s">
        <v>1201</v>
      </c>
      <c r="I258" s="24" t="s">
        <v>22</v>
      </c>
      <c r="J258" s="24" t="s">
        <v>1202</v>
      </c>
      <c r="K258" s="24" t="s">
        <v>1203</v>
      </c>
      <c r="L258" s="32" t="s">
        <v>15</v>
      </c>
      <c r="M258" s="25">
        <f t="shared" si="4"/>
        <v>1</v>
      </c>
      <c r="N258" s="21"/>
    </row>
    <row r="259" s="3" customFormat="1" ht="39" spans="1:14">
      <c r="A259" s="27"/>
      <c r="B259" s="21"/>
      <c r="C259" s="28"/>
      <c r="D259" s="28"/>
      <c r="E259" s="24" t="s">
        <v>524</v>
      </c>
      <c r="F259" s="24" t="s">
        <v>1199</v>
      </c>
      <c r="G259" s="24" t="s">
        <v>1204</v>
      </c>
      <c r="H259" s="24" t="s">
        <v>1205</v>
      </c>
      <c r="I259" s="24" t="s">
        <v>26</v>
      </c>
      <c r="J259" s="24" t="s">
        <v>1206</v>
      </c>
      <c r="K259" s="24" t="s">
        <v>1207</v>
      </c>
      <c r="L259" s="32" t="s">
        <v>15</v>
      </c>
      <c r="M259" s="25">
        <f t="shared" si="4"/>
        <v>1</v>
      </c>
      <c r="N259" s="21"/>
    </row>
    <row r="260" s="3" customFormat="1" ht="26" spans="1:14">
      <c r="A260" s="27"/>
      <c r="B260" s="21"/>
      <c r="C260" s="28"/>
      <c r="D260" s="28"/>
      <c r="E260" s="24" t="s">
        <v>524</v>
      </c>
      <c r="F260" s="24" t="s">
        <v>1199</v>
      </c>
      <c r="G260" s="24" t="s">
        <v>1208</v>
      </c>
      <c r="H260" s="24" t="s">
        <v>1209</v>
      </c>
      <c r="I260" s="24" t="s">
        <v>28</v>
      </c>
      <c r="J260" s="24" t="s">
        <v>1210</v>
      </c>
      <c r="K260" s="24" t="s">
        <v>1211</v>
      </c>
      <c r="L260" s="32" t="s">
        <v>15</v>
      </c>
      <c r="M260" s="25">
        <f t="shared" si="4"/>
        <v>1</v>
      </c>
      <c r="N260" s="21"/>
    </row>
    <row r="261" s="3" customFormat="1" ht="26" spans="1:14">
      <c r="A261" s="27"/>
      <c r="B261" s="21"/>
      <c r="C261" s="28"/>
      <c r="D261" s="29"/>
      <c r="E261" s="24" t="s">
        <v>524</v>
      </c>
      <c r="F261" s="24" t="s">
        <v>1199</v>
      </c>
      <c r="G261" s="24" t="s">
        <v>1212</v>
      </c>
      <c r="H261" s="24" t="s">
        <v>1213</v>
      </c>
      <c r="I261" s="24" t="s">
        <v>24</v>
      </c>
      <c r="J261" s="24" t="s">
        <v>1214</v>
      </c>
      <c r="K261" s="24" t="s">
        <v>1215</v>
      </c>
      <c r="L261" s="32" t="s">
        <v>15</v>
      </c>
      <c r="M261" s="25">
        <f t="shared" si="4"/>
        <v>1</v>
      </c>
      <c r="N261" s="21"/>
    </row>
    <row r="262" s="3" customFormat="1" ht="26" spans="1:14">
      <c r="A262" s="27"/>
      <c r="B262" s="21"/>
      <c r="C262" s="28"/>
      <c r="D262" s="22" t="s">
        <v>1216</v>
      </c>
      <c r="E262" s="24" t="s">
        <v>524</v>
      </c>
      <c r="F262" s="24" t="s">
        <v>1217</v>
      </c>
      <c r="G262" s="24" t="s">
        <v>1218</v>
      </c>
      <c r="H262" s="24" t="s">
        <v>1219</v>
      </c>
      <c r="I262" s="24" t="s">
        <v>22</v>
      </c>
      <c r="J262" s="24" t="s">
        <v>1220</v>
      </c>
      <c r="K262" s="24" t="s">
        <v>1221</v>
      </c>
      <c r="L262" s="32" t="s">
        <v>15</v>
      </c>
      <c r="M262" s="25">
        <f t="shared" si="4"/>
        <v>1</v>
      </c>
      <c r="N262" s="21"/>
    </row>
    <row r="263" s="3" customFormat="1" ht="39" spans="1:14">
      <c r="A263" s="27"/>
      <c r="B263" s="21"/>
      <c r="C263" s="28"/>
      <c r="D263" s="28"/>
      <c r="E263" s="24" t="s">
        <v>524</v>
      </c>
      <c r="F263" s="24" t="s">
        <v>1217</v>
      </c>
      <c r="G263" s="24" t="s">
        <v>1222</v>
      </c>
      <c r="H263" s="24" t="s">
        <v>1223</v>
      </c>
      <c r="I263" s="24" t="s">
        <v>26</v>
      </c>
      <c r="J263" s="24" t="s">
        <v>1224</v>
      </c>
      <c r="K263" s="24" t="s">
        <v>1225</v>
      </c>
      <c r="L263" s="32" t="s">
        <v>15</v>
      </c>
      <c r="M263" s="25">
        <f t="shared" si="4"/>
        <v>1</v>
      </c>
      <c r="N263" s="21"/>
    </row>
    <row r="264" s="3" customFormat="1" ht="26" spans="1:14">
      <c r="A264" s="27"/>
      <c r="B264" s="21"/>
      <c r="C264" s="28"/>
      <c r="D264" s="28"/>
      <c r="E264" s="24" t="s">
        <v>524</v>
      </c>
      <c r="F264" s="24" t="s">
        <v>1217</v>
      </c>
      <c r="G264" s="24" t="s">
        <v>1226</v>
      </c>
      <c r="H264" s="24" t="s">
        <v>1227</v>
      </c>
      <c r="I264" s="24" t="s">
        <v>28</v>
      </c>
      <c r="J264" s="24" t="s">
        <v>1228</v>
      </c>
      <c r="K264" s="24" t="s">
        <v>1229</v>
      </c>
      <c r="L264" s="32" t="s">
        <v>15</v>
      </c>
      <c r="M264" s="25">
        <f t="shared" si="4"/>
        <v>1</v>
      </c>
      <c r="N264" s="21"/>
    </row>
    <row r="265" s="3" customFormat="1" ht="39" spans="1:14">
      <c r="A265" s="27"/>
      <c r="B265" s="21"/>
      <c r="C265" s="29"/>
      <c r="D265" s="29"/>
      <c r="E265" s="24" t="s">
        <v>524</v>
      </c>
      <c r="F265" s="24" t="s">
        <v>1217</v>
      </c>
      <c r="G265" s="24" t="s">
        <v>1230</v>
      </c>
      <c r="H265" s="24" t="s">
        <v>1231</v>
      </c>
      <c r="I265" s="24" t="s">
        <v>24</v>
      </c>
      <c r="J265" s="24" t="s">
        <v>1232</v>
      </c>
      <c r="K265" s="24" t="s">
        <v>1233</v>
      </c>
      <c r="L265" s="32" t="s">
        <v>15</v>
      </c>
      <c r="M265" s="25">
        <f t="shared" si="4"/>
        <v>1</v>
      </c>
      <c r="N265" s="21"/>
    </row>
    <row r="266" s="3" customFormat="1" ht="26" spans="1:14">
      <c r="A266" s="27"/>
      <c r="B266" s="21"/>
      <c r="C266" s="22" t="s">
        <v>1234</v>
      </c>
      <c r="D266" s="22" t="s">
        <v>1235</v>
      </c>
      <c r="E266" s="24" t="s">
        <v>524</v>
      </c>
      <c r="F266" s="24" t="s">
        <v>1236</v>
      </c>
      <c r="G266" s="24" t="s">
        <v>1237</v>
      </c>
      <c r="H266" s="24" t="s">
        <v>1238</v>
      </c>
      <c r="I266" s="24" t="s">
        <v>22</v>
      </c>
      <c r="J266" s="24" t="s">
        <v>1239</v>
      </c>
      <c r="K266" s="24" t="s">
        <v>1240</v>
      </c>
      <c r="L266" s="32" t="s">
        <v>15</v>
      </c>
      <c r="M266" s="25">
        <f t="shared" si="4"/>
        <v>1</v>
      </c>
      <c r="N266" s="21"/>
    </row>
    <row r="267" s="3" customFormat="1" ht="39" spans="1:14">
      <c r="A267" s="27"/>
      <c r="B267" s="21"/>
      <c r="C267" s="28"/>
      <c r="D267" s="28"/>
      <c r="E267" s="24" t="s">
        <v>524</v>
      </c>
      <c r="F267" s="24" t="s">
        <v>1236</v>
      </c>
      <c r="G267" s="24" t="s">
        <v>1241</v>
      </c>
      <c r="H267" s="24" t="s">
        <v>1242</v>
      </c>
      <c r="I267" s="24" t="s">
        <v>26</v>
      </c>
      <c r="J267" s="24" t="s">
        <v>1243</v>
      </c>
      <c r="K267" s="24" t="s">
        <v>1244</v>
      </c>
      <c r="L267" s="32" t="s">
        <v>15</v>
      </c>
      <c r="M267" s="25">
        <f t="shared" si="4"/>
        <v>1</v>
      </c>
      <c r="N267" s="21"/>
    </row>
    <row r="268" s="3" customFormat="1" ht="26" spans="1:14">
      <c r="A268" s="27"/>
      <c r="B268" s="21"/>
      <c r="C268" s="28"/>
      <c r="D268" s="28"/>
      <c r="E268" s="24" t="s">
        <v>524</v>
      </c>
      <c r="F268" s="24" t="s">
        <v>1236</v>
      </c>
      <c r="G268" s="24" t="s">
        <v>1245</v>
      </c>
      <c r="H268" s="24" t="s">
        <v>1246</v>
      </c>
      <c r="I268" s="24" t="s">
        <v>28</v>
      </c>
      <c r="J268" s="24" t="s">
        <v>1247</v>
      </c>
      <c r="K268" s="24" t="s">
        <v>1248</v>
      </c>
      <c r="L268" s="32" t="s">
        <v>15</v>
      </c>
      <c r="M268" s="25">
        <f t="shared" si="4"/>
        <v>1</v>
      </c>
      <c r="N268" s="21"/>
    </row>
    <row r="269" s="3" customFormat="1" ht="26" spans="1:14">
      <c r="A269" s="27"/>
      <c r="B269" s="21"/>
      <c r="C269" s="28"/>
      <c r="D269" s="29"/>
      <c r="E269" s="24" t="s">
        <v>524</v>
      </c>
      <c r="F269" s="24" t="s">
        <v>1236</v>
      </c>
      <c r="G269" s="24" t="s">
        <v>1249</v>
      </c>
      <c r="H269" s="24" t="s">
        <v>1250</v>
      </c>
      <c r="I269" s="24" t="s">
        <v>24</v>
      </c>
      <c r="J269" s="24" t="s">
        <v>1251</v>
      </c>
      <c r="K269" s="24" t="s">
        <v>1252</v>
      </c>
      <c r="L269" s="32" t="s">
        <v>15</v>
      </c>
      <c r="M269" s="25">
        <f t="shared" si="4"/>
        <v>1</v>
      </c>
      <c r="N269" s="21"/>
    </row>
    <row r="270" s="3" customFormat="1" ht="26" spans="1:14">
      <c r="A270" s="27"/>
      <c r="B270" s="21"/>
      <c r="C270" s="28"/>
      <c r="D270" s="22" t="s">
        <v>1253</v>
      </c>
      <c r="E270" s="24" t="s">
        <v>524</v>
      </c>
      <c r="F270" s="24" t="s">
        <v>1254</v>
      </c>
      <c r="G270" s="24" t="s">
        <v>1255</v>
      </c>
      <c r="H270" s="24" t="s">
        <v>1256</v>
      </c>
      <c r="I270" s="24" t="s">
        <v>22</v>
      </c>
      <c r="J270" s="24" t="s">
        <v>1257</v>
      </c>
      <c r="K270" s="24" t="s">
        <v>1258</v>
      </c>
      <c r="L270" s="32" t="s">
        <v>15</v>
      </c>
      <c r="M270" s="25">
        <f t="shared" si="4"/>
        <v>1</v>
      </c>
      <c r="N270" s="21"/>
    </row>
    <row r="271" s="3" customFormat="1" ht="39" spans="1:14">
      <c r="A271" s="27"/>
      <c r="B271" s="21"/>
      <c r="C271" s="28"/>
      <c r="D271" s="28"/>
      <c r="E271" s="24" t="s">
        <v>524</v>
      </c>
      <c r="F271" s="24" t="s">
        <v>1254</v>
      </c>
      <c r="G271" s="24" t="s">
        <v>1259</v>
      </c>
      <c r="H271" s="24" t="s">
        <v>1260</v>
      </c>
      <c r="I271" s="24" t="s">
        <v>26</v>
      </c>
      <c r="J271" s="24" t="s">
        <v>1261</v>
      </c>
      <c r="K271" s="24" t="s">
        <v>1262</v>
      </c>
      <c r="L271" s="32" t="s">
        <v>15</v>
      </c>
      <c r="M271" s="25">
        <f t="shared" si="4"/>
        <v>1</v>
      </c>
      <c r="N271" s="21"/>
    </row>
    <row r="272" s="3" customFormat="1" ht="26" spans="1:14">
      <c r="A272" s="27"/>
      <c r="B272" s="21"/>
      <c r="C272" s="28"/>
      <c r="D272" s="28"/>
      <c r="E272" s="24" t="s">
        <v>524</v>
      </c>
      <c r="F272" s="24" t="s">
        <v>1254</v>
      </c>
      <c r="G272" s="24" t="s">
        <v>1263</v>
      </c>
      <c r="H272" s="24" t="s">
        <v>1264</v>
      </c>
      <c r="I272" s="24" t="s">
        <v>28</v>
      </c>
      <c r="J272" s="24" t="s">
        <v>1265</v>
      </c>
      <c r="K272" s="24" t="s">
        <v>1266</v>
      </c>
      <c r="L272" s="32" t="s">
        <v>15</v>
      </c>
      <c r="M272" s="25">
        <f t="shared" si="4"/>
        <v>1</v>
      </c>
      <c r="N272" s="21"/>
    </row>
    <row r="273" s="3" customFormat="1" ht="26" spans="1:14">
      <c r="A273" s="27"/>
      <c r="B273" s="21"/>
      <c r="C273" s="28"/>
      <c r="D273" s="29"/>
      <c r="E273" s="24" t="s">
        <v>524</v>
      </c>
      <c r="F273" s="24" t="s">
        <v>1254</v>
      </c>
      <c r="G273" s="24" t="s">
        <v>1267</v>
      </c>
      <c r="H273" s="24" t="s">
        <v>1268</v>
      </c>
      <c r="I273" s="24" t="s">
        <v>24</v>
      </c>
      <c r="J273" s="24" t="s">
        <v>1269</v>
      </c>
      <c r="K273" s="24" t="s">
        <v>1270</v>
      </c>
      <c r="L273" s="32" t="s">
        <v>15</v>
      </c>
      <c r="M273" s="25">
        <f t="shared" si="4"/>
        <v>1</v>
      </c>
      <c r="N273" s="21"/>
    </row>
    <row r="274" s="3" customFormat="1" ht="26" spans="1:14">
      <c r="A274" s="27"/>
      <c r="B274" s="21"/>
      <c r="C274" s="28"/>
      <c r="D274" s="22" t="s">
        <v>1271</v>
      </c>
      <c r="E274" s="24" t="s">
        <v>524</v>
      </c>
      <c r="F274" s="24" t="s">
        <v>1272</v>
      </c>
      <c r="G274" s="24" t="s">
        <v>1273</v>
      </c>
      <c r="H274" s="24" t="s">
        <v>1274</v>
      </c>
      <c r="I274" s="24" t="s">
        <v>22</v>
      </c>
      <c r="J274" s="24" t="s">
        <v>1275</v>
      </c>
      <c r="K274" s="24" t="s">
        <v>1276</v>
      </c>
      <c r="L274" s="32" t="s">
        <v>15</v>
      </c>
      <c r="M274" s="25">
        <f t="shared" si="4"/>
        <v>1</v>
      </c>
      <c r="N274" s="21"/>
    </row>
    <row r="275" s="3" customFormat="1" ht="39" spans="1:14">
      <c r="A275" s="27"/>
      <c r="B275" s="21"/>
      <c r="C275" s="28"/>
      <c r="D275" s="28"/>
      <c r="E275" s="24" t="s">
        <v>524</v>
      </c>
      <c r="F275" s="24" t="s">
        <v>1272</v>
      </c>
      <c r="G275" s="24" t="s">
        <v>1277</v>
      </c>
      <c r="H275" s="24" t="s">
        <v>1278</v>
      </c>
      <c r="I275" s="24" t="s">
        <v>26</v>
      </c>
      <c r="J275" s="24" t="s">
        <v>1279</v>
      </c>
      <c r="K275" s="24" t="s">
        <v>1280</v>
      </c>
      <c r="L275" s="32" t="s">
        <v>15</v>
      </c>
      <c r="M275" s="25">
        <f t="shared" si="4"/>
        <v>1</v>
      </c>
      <c r="N275" s="21"/>
    </row>
    <row r="276" s="3" customFormat="1" ht="26" spans="1:14">
      <c r="A276" s="27"/>
      <c r="B276" s="21"/>
      <c r="C276" s="28"/>
      <c r="D276" s="28"/>
      <c r="E276" s="24" t="s">
        <v>524</v>
      </c>
      <c r="F276" s="24" t="s">
        <v>1272</v>
      </c>
      <c r="G276" s="24" t="s">
        <v>1281</v>
      </c>
      <c r="H276" s="24" t="s">
        <v>1282</v>
      </c>
      <c r="I276" s="24" t="s">
        <v>28</v>
      </c>
      <c r="J276" s="24" t="s">
        <v>1283</v>
      </c>
      <c r="K276" s="24" t="s">
        <v>1284</v>
      </c>
      <c r="L276" s="32" t="s">
        <v>15</v>
      </c>
      <c r="M276" s="25">
        <f t="shared" si="4"/>
        <v>1</v>
      </c>
      <c r="N276" s="21"/>
    </row>
    <row r="277" s="3" customFormat="1" ht="26" spans="1:14">
      <c r="A277" s="27"/>
      <c r="B277" s="21"/>
      <c r="C277" s="29"/>
      <c r="D277" s="29"/>
      <c r="E277" s="24" t="s">
        <v>524</v>
      </c>
      <c r="F277" s="24" t="s">
        <v>1272</v>
      </c>
      <c r="G277" s="24" t="s">
        <v>1285</v>
      </c>
      <c r="H277" s="24" t="s">
        <v>1286</v>
      </c>
      <c r="I277" s="24" t="s">
        <v>24</v>
      </c>
      <c r="J277" s="24" t="s">
        <v>1287</v>
      </c>
      <c r="K277" s="24" t="s">
        <v>1288</v>
      </c>
      <c r="L277" s="32" t="s">
        <v>15</v>
      </c>
      <c r="M277" s="25">
        <f t="shared" si="4"/>
        <v>1</v>
      </c>
      <c r="N277" s="21"/>
    </row>
    <row r="278" s="3" customFormat="1" ht="26" spans="1:14">
      <c r="A278" s="27"/>
      <c r="B278" s="21"/>
      <c r="C278" s="22" t="s">
        <v>1289</v>
      </c>
      <c r="D278" s="22" t="s">
        <v>1290</v>
      </c>
      <c r="E278" s="24" t="s">
        <v>524</v>
      </c>
      <c r="F278" s="24" t="s">
        <v>1291</v>
      </c>
      <c r="G278" s="24" t="s">
        <v>1292</v>
      </c>
      <c r="H278" s="24" t="s">
        <v>1293</v>
      </c>
      <c r="I278" s="24" t="s">
        <v>22</v>
      </c>
      <c r="J278" s="24" t="s">
        <v>1294</v>
      </c>
      <c r="K278" s="24" t="s">
        <v>1295</v>
      </c>
      <c r="L278" s="32" t="s">
        <v>15</v>
      </c>
      <c r="M278" s="25">
        <f t="shared" si="4"/>
        <v>1</v>
      </c>
      <c r="N278" s="21"/>
    </row>
    <row r="279" s="3" customFormat="1" ht="39" spans="1:14">
      <c r="A279" s="27"/>
      <c r="B279" s="21"/>
      <c r="C279" s="28"/>
      <c r="D279" s="28"/>
      <c r="E279" s="24" t="s">
        <v>524</v>
      </c>
      <c r="F279" s="24" t="s">
        <v>1291</v>
      </c>
      <c r="G279" s="24" t="s">
        <v>1296</v>
      </c>
      <c r="H279" s="24" t="s">
        <v>1297</v>
      </c>
      <c r="I279" s="24" t="s">
        <v>26</v>
      </c>
      <c r="J279" s="24" t="s">
        <v>1298</v>
      </c>
      <c r="K279" s="24" t="s">
        <v>1299</v>
      </c>
      <c r="L279" s="32" t="s">
        <v>15</v>
      </c>
      <c r="M279" s="25">
        <f t="shared" si="4"/>
        <v>1</v>
      </c>
      <c r="N279" s="21"/>
    </row>
    <row r="280" s="3" customFormat="1" ht="26" spans="1:14">
      <c r="A280" s="27"/>
      <c r="B280" s="21"/>
      <c r="C280" s="28"/>
      <c r="D280" s="28"/>
      <c r="E280" s="24" t="s">
        <v>524</v>
      </c>
      <c r="F280" s="24" t="s">
        <v>1291</v>
      </c>
      <c r="G280" s="24" t="s">
        <v>1300</v>
      </c>
      <c r="H280" s="24" t="s">
        <v>1301</v>
      </c>
      <c r="I280" s="24" t="s">
        <v>28</v>
      </c>
      <c r="J280" s="24" t="s">
        <v>1302</v>
      </c>
      <c r="K280" s="24" t="s">
        <v>1303</v>
      </c>
      <c r="L280" s="32" t="s">
        <v>15</v>
      </c>
      <c r="M280" s="25">
        <f t="shared" si="4"/>
        <v>1</v>
      </c>
      <c r="N280" s="21"/>
    </row>
    <row r="281" s="3" customFormat="1" ht="26" spans="1:14">
      <c r="A281" s="27"/>
      <c r="B281" s="21"/>
      <c r="C281" s="29"/>
      <c r="D281" s="29"/>
      <c r="E281" s="24" t="s">
        <v>524</v>
      </c>
      <c r="F281" s="24" t="s">
        <v>1291</v>
      </c>
      <c r="G281" s="24" t="s">
        <v>1304</v>
      </c>
      <c r="H281" s="24" t="s">
        <v>1305</v>
      </c>
      <c r="I281" s="24" t="s">
        <v>24</v>
      </c>
      <c r="J281" s="24" t="s">
        <v>1306</v>
      </c>
      <c r="K281" s="24" t="s">
        <v>1307</v>
      </c>
      <c r="L281" s="32" t="s">
        <v>15</v>
      </c>
      <c r="M281" s="25">
        <f t="shared" si="4"/>
        <v>1</v>
      </c>
      <c r="N281" s="21"/>
    </row>
    <row r="282" s="3" customFormat="1" ht="26" spans="1:14">
      <c r="A282" s="27"/>
      <c r="B282" s="21"/>
      <c r="C282" s="22" t="s">
        <v>1308</v>
      </c>
      <c r="D282" s="22" t="s">
        <v>1309</v>
      </c>
      <c r="E282" s="24" t="s">
        <v>524</v>
      </c>
      <c r="F282" s="24" t="s">
        <v>1310</v>
      </c>
      <c r="G282" s="24" t="s">
        <v>1311</v>
      </c>
      <c r="H282" s="24" t="s">
        <v>1312</v>
      </c>
      <c r="I282" s="24" t="s">
        <v>22</v>
      </c>
      <c r="J282" s="24" t="s">
        <v>1313</v>
      </c>
      <c r="K282" s="24" t="s">
        <v>1314</v>
      </c>
      <c r="L282" s="32" t="s">
        <v>15</v>
      </c>
      <c r="M282" s="25">
        <f t="shared" si="4"/>
        <v>1</v>
      </c>
      <c r="N282" s="21"/>
    </row>
    <row r="283" s="3" customFormat="1" ht="39" spans="1:14">
      <c r="A283" s="27"/>
      <c r="B283" s="21"/>
      <c r="C283" s="28"/>
      <c r="D283" s="28"/>
      <c r="E283" s="24" t="s">
        <v>524</v>
      </c>
      <c r="F283" s="24" t="s">
        <v>1310</v>
      </c>
      <c r="G283" s="24" t="s">
        <v>1315</v>
      </c>
      <c r="H283" s="24" t="s">
        <v>1316</v>
      </c>
      <c r="I283" s="24" t="s">
        <v>26</v>
      </c>
      <c r="J283" s="24" t="s">
        <v>1317</v>
      </c>
      <c r="K283" s="24" t="s">
        <v>1318</v>
      </c>
      <c r="L283" s="32" t="s">
        <v>15</v>
      </c>
      <c r="M283" s="25">
        <f t="shared" si="4"/>
        <v>1</v>
      </c>
      <c r="N283" s="21"/>
    </row>
    <row r="284" s="3" customFormat="1" ht="26" spans="1:14">
      <c r="A284" s="27"/>
      <c r="B284" s="21"/>
      <c r="C284" s="28"/>
      <c r="D284" s="28"/>
      <c r="E284" s="24" t="s">
        <v>524</v>
      </c>
      <c r="F284" s="24" t="s">
        <v>1310</v>
      </c>
      <c r="G284" s="24" t="s">
        <v>1319</v>
      </c>
      <c r="H284" s="24" t="s">
        <v>1320</v>
      </c>
      <c r="I284" s="24" t="s">
        <v>28</v>
      </c>
      <c r="J284" s="24" t="s">
        <v>1321</v>
      </c>
      <c r="K284" s="24" t="s">
        <v>1322</v>
      </c>
      <c r="L284" s="32" t="s">
        <v>15</v>
      </c>
      <c r="M284" s="25">
        <f t="shared" si="4"/>
        <v>1</v>
      </c>
      <c r="N284" s="21"/>
    </row>
    <row r="285" s="3" customFormat="1" ht="26" spans="1:14">
      <c r="A285" s="27"/>
      <c r="B285" s="21"/>
      <c r="C285" s="29"/>
      <c r="D285" s="29"/>
      <c r="E285" s="24" t="s">
        <v>524</v>
      </c>
      <c r="F285" s="24" t="s">
        <v>1310</v>
      </c>
      <c r="G285" s="24" t="s">
        <v>1323</v>
      </c>
      <c r="H285" s="24" t="s">
        <v>1324</v>
      </c>
      <c r="I285" s="24" t="s">
        <v>24</v>
      </c>
      <c r="J285" s="24" t="s">
        <v>1325</v>
      </c>
      <c r="K285" s="24" t="s">
        <v>1326</v>
      </c>
      <c r="L285" s="32" t="s">
        <v>15</v>
      </c>
      <c r="M285" s="25">
        <f t="shared" si="4"/>
        <v>1</v>
      </c>
      <c r="N285" s="21"/>
    </row>
    <row r="286" s="3" customFormat="1" ht="26" spans="1:14">
      <c r="A286" s="27"/>
      <c r="B286" s="21"/>
      <c r="C286" s="22" t="s">
        <v>1327</v>
      </c>
      <c r="D286" s="22" t="s">
        <v>1328</v>
      </c>
      <c r="E286" s="24" t="s">
        <v>524</v>
      </c>
      <c r="F286" s="24" t="s">
        <v>1329</v>
      </c>
      <c r="G286" s="24" t="s">
        <v>1330</v>
      </c>
      <c r="H286" s="24" t="s">
        <v>1331</v>
      </c>
      <c r="I286" s="24" t="s">
        <v>22</v>
      </c>
      <c r="J286" s="24" t="s">
        <v>1332</v>
      </c>
      <c r="K286" s="24" t="s">
        <v>1333</v>
      </c>
      <c r="L286" s="32" t="s">
        <v>15</v>
      </c>
      <c r="M286" s="25">
        <f t="shared" si="4"/>
        <v>1</v>
      </c>
      <c r="N286" s="21"/>
    </row>
    <row r="287" s="3" customFormat="1" ht="39" spans="1:14">
      <c r="A287" s="27"/>
      <c r="B287" s="21"/>
      <c r="C287" s="28"/>
      <c r="D287" s="28"/>
      <c r="E287" s="24" t="s">
        <v>524</v>
      </c>
      <c r="F287" s="24" t="s">
        <v>1329</v>
      </c>
      <c r="G287" s="24" t="s">
        <v>1334</v>
      </c>
      <c r="H287" s="24" t="s">
        <v>1335</v>
      </c>
      <c r="I287" s="24" t="s">
        <v>26</v>
      </c>
      <c r="J287" s="24" t="s">
        <v>1336</v>
      </c>
      <c r="K287" s="24" t="s">
        <v>1337</v>
      </c>
      <c r="L287" s="32" t="s">
        <v>15</v>
      </c>
      <c r="M287" s="25">
        <f t="shared" si="4"/>
        <v>1</v>
      </c>
      <c r="N287" s="21"/>
    </row>
    <row r="288" s="3" customFormat="1" ht="26" spans="1:14">
      <c r="A288" s="27"/>
      <c r="B288" s="21"/>
      <c r="C288" s="28"/>
      <c r="D288" s="28"/>
      <c r="E288" s="24" t="s">
        <v>524</v>
      </c>
      <c r="F288" s="24" t="s">
        <v>1329</v>
      </c>
      <c r="G288" s="24" t="s">
        <v>1338</v>
      </c>
      <c r="H288" s="24" t="s">
        <v>1339</v>
      </c>
      <c r="I288" s="24" t="s">
        <v>28</v>
      </c>
      <c r="J288" s="24" t="s">
        <v>1340</v>
      </c>
      <c r="K288" s="24" t="s">
        <v>1341</v>
      </c>
      <c r="L288" s="32" t="s">
        <v>15</v>
      </c>
      <c r="M288" s="25">
        <f t="shared" si="4"/>
        <v>1</v>
      </c>
      <c r="N288" s="21"/>
    </row>
    <row r="289" s="3" customFormat="1" ht="39" spans="1:14">
      <c r="A289" s="27"/>
      <c r="B289" s="21"/>
      <c r="C289" s="29"/>
      <c r="D289" s="29"/>
      <c r="E289" s="24" t="s">
        <v>524</v>
      </c>
      <c r="F289" s="24" t="s">
        <v>1329</v>
      </c>
      <c r="G289" s="24" t="s">
        <v>1342</v>
      </c>
      <c r="H289" s="24" t="s">
        <v>1343</v>
      </c>
      <c r="I289" s="24" t="s">
        <v>24</v>
      </c>
      <c r="J289" s="24" t="s">
        <v>1344</v>
      </c>
      <c r="K289" s="24" t="s">
        <v>1345</v>
      </c>
      <c r="L289" s="32" t="s">
        <v>15</v>
      </c>
      <c r="M289" s="25">
        <f t="shared" si="4"/>
        <v>1</v>
      </c>
      <c r="N289" s="21"/>
    </row>
    <row r="290" s="3" customFormat="1" ht="26" spans="1:14">
      <c r="A290" s="27"/>
      <c r="B290" s="21"/>
      <c r="C290" s="22" t="s">
        <v>1346</v>
      </c>
      <c r="D290" s="22" t="s">
        <v>1347</v>
      </c>
      <c r="E290" s="24" t="s">
        <v>524</v>
      </c>
      <c r="F290" s="24" t="s">
        <v>1348</v>
      </c>
      <c r="G290" s="24" t="s">
        <v>1349</v>
      </c>
      <c r="H290" s="24" t="s">
        <v>1350</v>
      </c>
      <c r="I290" s="24" t="s">
        <v>22</v>
      </c>
      <c r="J290" s="24" t="s">
        <v>1351</v>
      </c>
      <c r="K290" s="24" t="s">
        <v>1352</v>
      </c>
      <c r="L290" s="32" t="s">
        <v>15</v>
      </c>
      <c r="M290" s="25">
        <f t="shared" si="4"/>
        <v>1</v>
      </c>
      <c r="N290" s="21"/>
    </row>
    <row r="291" s="3" customFormat="1" ht="39" spans="1:14">
      <c r="A291" s="27"/>
      <c r="B291" s="21"/>
      <c r="C291" s="28"/>
      <c r="D291" s="28"/>
      <c r="E291" s="24" t="s">
        <v>524</v>
      </c>
      <c r="F291" s="24" t="s">
        <v>1348</v>
      </c>
      <c r="G291" s="24" t="s">
        <v>1353</v>
      </c>
      <c r="H291" s="24" t="s">
        <v>1354</v>
      </c>
      <c r="I291" s="24" t="s">
        <v>26</v>
      </c>
      <c r="J291" s="24" t="s">
        <v>1355</v>
      </c>
      <c r="K291" s="24" t="s">
        <v>1356</v>
      </c>
      <c r="L291" s="32" t="s">
        <v>15</v>
      </c>
      <c r="M291" s="25">
        <f t="shared" si="4"/>
        <v>1</v>
      </c>
      <c r="N291" s="21"/>
    </row>
    <row r="292" s="3" customFormat="1" ht="26" spans="1:14">
      <c r="A292" s="27"/>
      <c r="B292" s="21"/>
      <c r="C292" s="28"/>
      <c r="D292" s="28"/>
      <c r="E292" s="24" t="s">
        <v>524</v>
      </c>
      <c r="F292" s="24" t="s">
        <v>1348</v>
      </c>
      <c r="G292" s="24" t="s">
        <v>1357</v>
      </c>
      <c r="H292" s="24" t="s">
        <v>1358</v>
      </c>
      <c r="I292" s="24" t="s">
        <v>28</v>
      </c>
      <c r="J292" s="24" t="s">
        <v>1359</v>
      </c>
      <c r="K292" s="24" t="s">
        <v>1360</v>
      </c>
      <c r="L292" s="32" t="s">
        <v>15</v>
      </c>
      <c r="M292" s="25">
        <f t="shared" si="4"/>
        <v>1</v>
      </c>
      <c r="N292" s="21"/>
    </row>
    <row r="293" s="3" customFormat="1" ht="39" spans="1:14">
      <c r="A293" s="27"/>
      <c r="B293" s="21"/>
      <c r="C293" s="29"/>
      <c r="D293" s="29"/>
      <c r="E293" s="24" t="s">
        <v>524</v>
      </c>
      <c r="F293" s="24" t="s">
        <v>1348</v>
      </c>
      <c r="G293" s="24" t="s">
        <v>1361</v>
      </c>
      <c r="H293" s="24" t="s">
        <v>1362</v>
      </c>
      <c r="I293" s="24" t="s">
        <v>24</v>
      </c>
      <c r="J293" s="24" t="s">
        <v>1363</v>
      </c>
      <c r="K293" s="24" t="s">
        <v>1364</v>
      </c>
      <c r="L293" s="32" t="s">
        <v>15</v>
      </c>
      <c r="M293" s="25">
        <f t="shared" si="4"/>
        <v>1</v>
      </c>
      <c r="N293" s="21"/>
    </row>
    <row r="294" s="3" customFormat="1" ht="26" spans="1:14">
      <c r="A294" s="27"/>
      <c r="B294" s="21"/>
      <c r="C294" s="22" t="s">
        <v>1365</v>
      </c>
      <c r="D294" s="22" t="s">
        <v>1366</v>
      </c>
      <c r="E294" s="24" t="s">
        <v>524</v>
      </c>
      <c r="F294" s="24" t="s">
        <v>1367</v>
      </c>
      <c r="G294" s="24" t="s">
        <v>1368</v>
      </c>
      <c r="H294" s="24" t="s">
        <v>1369</v>
      </c>
      <c r="I294" s="24" t="s">
        <v>22</v>
      </c>
      <c r="J294" s="24" t="s">
        <v>1370</v>
      </c>
      <c r="K294" s="24" t="s">
        <v>1371</v>
      </c>
      <c r="L294" s="32" t="s">
        <v>15</v>
      </c>
      <c r="M294" s="25">
        <f t="shared" si="4"/>
        <v>1</v>
      </c>
      <c r="N294" s="21"/>
    </row>
    <row r="295" s="3" customFormat="1" ht="39" spans="1:14">
      <c r="A295" s="27"/>
      <c r="B295" s="21"/>
      <c r="C295" s="28"/>
      <c r="D295" s="28"/>
      <c r="E295" s="24" t="s">
        <v>524</v>
      </c>
      <c r="F295" s="24" t="s">
        <v>1367</v>
      </c>
      <c r="G295" s="24" t="s">
        <v>1372</v>
      </c>
      <c r="H295" s="24" t="s">
        <v>1373</v>
      </c>
      <c r="I295" s="24" t="s">
        <v>26</v>
      </c>
      <c r="J295" s="24" t="s">
        <v>1374</v>
      </c>
      <c r="K295" s="24" t="s">
        <v>1375</v>
      </c>
      <c r="L295" s="32" t="s">
        <v>15</v>
      </c>
      <c r="M295" s="25">
        <f t="shared" si="4"/>
        <v>1</v>
      </c>
      <c r="N295" s="21"/>
    </row>
    <row r="296" s="3" customFormat="1" ht="26" spans="1:14">
      <c r="A296" s="27"/>
      <c r="B296" s="21"/>
      <c r="C296" s="28"/>
      <c r="D296" s="28"/>
      <c r="E296" s="24" t="s">
        <v>524</v>
      </c>
      <c r="F296" s="24" t="s">
        <v>1367</v>
      </c>
      <c r="G296" s="24" t="s">
        <v>1376</v>
      </c>
      <c r="H296" s="24" t="s">
        <v>1377</v>
      </c>
      <c r="I296" s="24" t="s">
        <v>28</v>
      </c>
      <c r="J296" s="24" t="s">
        <v>1378</v>
      </c>
      <c r="K296" s="24" t="s">
        <v>1379</v>
      </c>
      <c r="L296" s="32" t="s">
        <v>15</v>
      </c>
      <c r="M296" s="25">
        <f t="shared" si="4"/>
        <v>1</v>
      </c>
      <c r="N296" s="21"/>
    </row>
    <row r="297" s="3" customFormat="1" ht="39" spans="1:14">
      <c r="A297" s="27"/>
      <c r="B297" s="21"/>
      <c r="C297" s="29"/>
      <c r="D297" s="29"/>
      <c r="E297" s="24" t="s">
        <v>524</v>
      </c>
      <c r="F297" s="24" t="s">
        <v>1367</v>
      </c>
      <c r="G297" s="24" t="s">
        <v>1380</v>
      </c>
      <c r="H297" s="24" t="s">
        <v>1381</v>
      </c>
      <c r="I297" s="24" t="s">
        <v>24</v>
      </c>
      <c r="J297" s="24" t="s">
        <v>1382</v>
      </c>
      <c r="K297" s="24" t="s">
        <v>1383</v>
      </c>
      <c r="L297" s="32" t="s">
        <v>15</v>
      </c>
      <c r="M297" s="25">
        <f t="shared" si="4"/>
        <v>1</v>
      </c>
      <c r="N297" s="21"/>
    </row>
    <row r="298" s="3" customFormat="1" ht="26" spans="1:14">
      <c r="A298" s="27"/>
      <c r="B298" s="21"/>
      <c r="C298" s="22" t="s">
        <v>1384</v>
      </c>
      <c r="D298" s="22" t="s">
        <v>1385</v>
      </c>
      <c r="E298" s="24" t="s">
        <v>524</v>
      </c>
      <c r="F298" s="24" t="s">
        <v>1386</v>
      </c>
      <c r="G298" s="24" t="s">
        <v>1387</v>
      </c>
      <c r="H298" s="24" t="s">
        <v>1388</v>
      </c>
      <c r="I298" s="24" t="s">
        <v>22</v>
      </c>
      <c r="J298" s="24" t="s">
        <v>1389</v>
      </c>
      <c r="K298" s="24" t="s">
        <v>1390</v>
      </c>
      <c r="L298" s="32" t="s">
        <v>15</v>
      </c>
      <c r="M298" s="25">
        <f t="shared" si="4"/>
        <v>1</v>
      </c>
      <c r="N298" s="21"/>
    </row>
    <row r="299" s="3" customFormat="1" ht="39" spans="1:14">
      <c r="A299" s="27"/>
      <c r="B299" s="21"/>
      <c r="C299" s="28"/>
      <c r="D299" s="28"/>
      <c r="E299" s="24" t="s">
        <v>524</v>
      </c>
      <c r="F299" s="24" t="s">
        <v>1386</v>
      </c>
      <c r="G299" s="24" t="s">
        <v>1391</v>
      </c>
      <c r="H299" s="24" t="s">
        <v>1392</v>
      </c>
      <c r="I299" s="24" t="s">
        <v>26</v>
      </c>
      <c r="J299" s="24" t="s">
        <v>1393</v>
      </c>
      <c r="K299" s="24" t="s">
        <v>1394</v>
      </c>
      <c r="L299" s="32" t="s">
        <v>15</v>
      </c>
      <c r="M299" s="25">
        <f t="shared" si="4"/>
        <v>1</v>
      </c>
      <c r="N299" s="21"/>
    </row>
    <row r="300" s="3" customFormat="1" ht="26" spans="1:14">
      <c r="A300" s="27"/>
      <c r="B300" s="21"/>
      <c r="C300" s="28"/>
      <c r="D300" s="28"/>
      <c r="E300" s="24" t="s">
        <v>524</v>
      </c>
      <c r="F300" s="24" t="s">
        <v>1386</v>
      </c>
      <c r="G300" s="24" t="s">
        <v>1395</v>
      </c>
      <c r="H300" s="24" t="s">
        <v>1396</v>
      </c>
      <c r="I300" s="24" t="s">
        <v>28</v>
      </c>
      <c r="J300" s="24" t="s">
        <v>1397</v>
      </c>
      <c r="K300" s="24" t="s">
        <v>1398</v>
      </c>
      <c r="L300" s="32" t="s">
        <v>15</v>
      </c>
      <c r="M300" s="25">
        <f t="shared" si="4"/>
        <v>1</v>
      </c>
      <c r="N300" s="21"/>
    </row>
    <row r="301" s="3" customFormat="1" ht="26" spans="1:14">
      <c r="A301" s="27"/>
      <c r="B301" s="21"/>
      <c r="C301" s="28"/>
      <c r="D301" s="29"/>
      <c r="E301" s="24" t="s">
        <v>524</v>
      </c>
      <c r="F301" s="24" t="s">
        <v>1386</v>
      </c>
      <c r="G301" s="24" t="s">
        <v>1399</v>
      </c>
      <c r="H301" s="24" t="s">
        <v>1400</v>
      </c>
      <c r="I301" s="24" t="s">
        <v>24</v>
      </c>
      <c r="J301" s="24" t="s">
        <v>1401</v>
      </c>
      <c r="K301" s="24" t="s">
        <v>1402</v>
      </c>
      <c r="L301" s="32" t="s">
        <v>15</v>
      </c>
      <c r="M301" s="25">
        <f t="shared" si="4"/>
        <v>1</v>
      </c>
      <c r="N301" s="21"/>
    </row>
    <row r="302" s="3" customFormat="1" ht="26" spans="1:14">
      <c r="A302" s="27"/>
      <c r="B302" s="21"/>
      <c r="C302" s="28"/>
      <c r="D302" s="22" t="s">
        <v>1403</v>
      </c>
      <c r="E302" s="24" t="s">
        <v>524</v>
      </c>
      <c r="F302" s="24" t="s">
        <v>1404</v>
      </c>
      <c r="G302" s="24" t="s">
        <v>1405</v>
      </c>
      <c r="H302" s="24" t="s">
        <v>1406</v>
      </c>
      <c r="I302" s="24" t="s">
        <v>22</v>
      </c>
      <c r="J302" s="24" t="s">
        <v>1407</v>
      </c>
      <c r="K302" s="24" t="s">
        <v>1408</v>
      </c>
      <c r="L302" s="32" t="s">
        <v>15</v>
      </c>
      <c r="M302" s="25">
        <f t="shared" si="4"/>
        <v>1</v>
      </c>
      <c r="N302" s="21"/>
    </row>
    <row r="303" s="3" customFormat="1" ht="39" spans="1:14">
      <c r="A303" s="27"/>
      <c r="B303" s="21"/>
      <c r="C303" s="28"/>
      <c r="D303" s="28"/>
      <c r="E303" s="24" t="s">
        <v>524</v>
      </c>
      <c r="F303" s="24" t="s">
        <v>1404</v>
      </c>
      <c r="G303" s="24" t="s">
        <v>1409</v>
      </c>
      <c r="H303" s="24" t="s">
        <v>1410</v>
      </c>
      <c r="I303" s="24" t="s">
        <v>26</v>
      </c>
      <c r="J303" s="24" t="s">
        <v>1411</v>
      </c>
      <c r="K303" s="24" t="s">
        <v>1412</v>
      </c>
      <c r="L303" s="32" t="s">
        <v>15</v>
      </c>
      <c r="M303" s="25">
        <f t="shared" ref="M303:M317" si="5">IF(L303="新增",1,IF(L303="复用",1/3,0))</f>
        <v>1</v>
      </c>
      <c r="N303" s="21"/>
    </row>
    <row r="304" s="3" customFormat="1" ht="26" spans="1:14">
      <c r="A304" s="27"/>
      <c r="B304" s="21"/>
      <c r="C304" s="28"/>
      <c r="D304" s="28"/>
      <c r="E304" s="24" t="s">
        <v>524</v>
      </c>
      <c r="F304" s="24" t="s">
        <v>1404</v>
      </c>
      <c r="G304" s="24" t="s">
        <v>1413</v>
      </c>
      <c r="H304" s="24" t="s">
        <v>1414</v>
      </c>
      <c r="I304" s="24" t="s">
        <v>28</v>
      </c>
      <c r="J304" s="24" t="s">
        <v>1415</v>
      </c>
      <c r="K304" s="24" t="s">
        <v>1416</v>
      </c>
      <c r="L304" s="32" t="s">
        <v>15</v>
      </c>
      <c r="M304" s="25">
        <f t="shared" si="5"/>
        <v>1</v>
      </c>
      <c r="N304" s="21"/>
    </row>
    <row r="305" s="3" customFormat="1" ht="39" spans="1:14">
      <c r="A305" s="27"/>
      <c r="B305" s="21"/>
      <c r="C305" s="29"/>
      <c r="D305" s="29"/>
      <c r="E305" s="24" t="s">
        <v>524</v>
      </c>
      <c r="F305" s="24" t="s">
        <v>1404</v>
      </c>
      <c r="G305" s="24" t="s">
        <v>1417</v>
      </c>
      <c r="H305" s="24" t="s">
        <v>1418</v>
      </c>
      <c r="I305" s="24" t="s">
        <v>24</v>
      </c>
      <c r="J305" s="24" t="s">
        <v>1419</v>
      </c>
      <c r="K305" s="24" t="s">
        <v>1420</v>
      </c>
      <c r="L305" s="32" t="s">
        <v>15</v>
      </c>
      <c r="M305" s="25">
        <f t="shared" si="5"/>
        <v>1</v>
      </c>
      <c r="N305" s="21"/>
    </row>
    <row r="306" s="3" customFormat="1" ht="39" spans="1:14">
      <c r="A306" s="27"/>
      <c r="B306" s="21"/>
      <c r="C306" s="22" t="s">
        <v>1421</v>
      </c>
      <c r="D306" s="22" t="s">
        <v>1422</v>
      </c>
      <c r="E306" s="24" t="s">
        <v>524</v>
      </c>
      <c r="F306" s="24" t="s">
        <v>1423</v>
      </c>
      <c r="G306" s="24" t="s">
        <v>1424</v>
      </c>
      <c r="H306" s="24" t="s">
        <v>1425</v>
      </c>
      <c r="I306" s="24" t="s">
        <v>22</v>
      </c>
      <c r="J306" s="24" t="s">
        <v>1426</v>
      </c>
      <c r="K306" s="24" t="s">
        <v>1427</v>
      </c>
      <c r="L306" s="32" t="s">
        <v>15</v>
      </c>
      <c r="M306" s="25">
        <f t="shared" si="5"/>
        <v>1</v>
      </c>
      <c r="N306" s="21"/>
    </row>
    <row r="307" s="3" customFormat="1" ht="39" spans="1:14">
      <c r="A307" s="27"/>
      <c r="B307" s="21"/>
      <c r="C307" s="28"/>
      <c r="D307" s="28"/>
      <c r="E307" s="24" t="s">
        <v>524</v>
      </c>
      <c r="F307" s="24" t="s">
        <v>1423</v>
      </c>
      <c r="G307" s="24" t="s">
        <v>1428</v>
      </c>
      <c r="H307" s="24" t="s">
        <v>1429</v>
      </c>
      <c r="I307" s="24" t="s">
        <v>26</v>
      </c>
      <c r="J307" s="24" t="s">
        <v>1430</v>
      </c>
      <c r="K307" s="24" t="s">
        <v>1431</v>
      </c>
      <c r="L307" s="32" t="s">
        <v>15</v>
      </c>
      <c r="M307" s="25">
        <f t="shared" si="5"/>
        <v>1</v>
      </c>
      <c r="N307" s="21"/>
    </row>
    <row r="308" s="3" customFormat="1" ht="26" spans="1:14">
      <c r="A308" s="27"/>
      <c r="B308" s="21"/>
      <c r="C308" s="28"/>
      <c r="D308" s="28"/>
      <c r="E308" s="24" t="s">
        <v>524</v>
      </c>
      <c r="F308" s="24" t="s">
        <v>1423</v>
      </c>
      <c r="G308" s="24" t="s">
        <v>1432</v>
      </c>
      <c r="H308" s="24" t="s">
        <v>1433</v>
      </c>
      <c r="I308" s="24" t="s">
        <v>28</v>
      </c>
      <c r="J308" s="24" t="s">
        <v>1434</v>
      </c>
      <c r="K308" s="24" t="s">
        <v>1435</v>
      </c>
      <c r="L308" s="32" t="s">
        <v>15</v>
      </c>
      <c r="M308" s="25">
        <f t="shared" si="5"/>
        <v>1</v>
      </c>
      <c r="N308" s="21"/>
    </row>
    <row r="309" s="3" customFormat="1" ht="39" spans="1:14">
      <c r="A309" s="27"/>
      <c r="B309" s="21"/>
      <c r="C309" s="29"/>
      <c r="D309" s="29"/>
      <c r="E309" s="24" t="s">
        <v>524</v>
      </c>
      <c r="F309" s="24" t="s">
        <v>1423</v>
      </c>
      <c r="G309" s="24" t="s">
        <v>1436</v>
      </c>
      <c r="H309" s="24" t="s">
        <v>1437</v>
      </c>
      <c r="I309" s="24" t="s">
        <v>24</v>
      </c>
      <c r="J309" s="24" t="s">
        <v>1438</v>
      </c>
      <c r="K309" s="24" t="s">
        <v>1439</v>
      </c>
      <c r="L309" s="32" t="s">
        <v>15</v>
      </c>
      <c r="M309" s="25">
        <f t="shared" si="5"/>
        <v>1</v>
      </c>
      <c r="N309" s="21"/>
    </row>
    <row r="310" s="3" customFormat="1" ht="26" spans="1:14">
      <c r="A310" s="27"/>
      <c r="B310" s="21"/>
      <c r="C310" s="22" t="s">
        <v>1440</v>
      </c>
      <c r="D310" s="24" t="s">
        <v>1441</v>
      </c>
      <c r="E310" s="24" t="s">
        <v>524</v>
      </c>
      <c r="F310" s="24" t="s">
        <v>1442</v>
      </c>
      <c r="G310" s="24" t="s">
        <v>1443</v>
      </c>
      <c r="H310" s="24" t="s">
        <v>1444</v>
      </c>
      <c r="I310" s="24" t="s">
        <v>22</v>
      </c>
      <c r="J310" s="24" t="s">
        <v>1445</v>
      </c>
      <c r="K310" s="24" t="s">
        <v>1446</v>
      </c>
      <c r="L310" s="32" t="s">
        <v>15</v>
      </c>
      <c r="M310" s="25">
        <f t="shared" si="5"/>
        <v>1</v>
      </c>
      <c r="N310" s="21"/>
    </row>
    <row r="311" s="3" customFormat="1" ht="39" spans="1:14">
      <c r="A311" s="27"/>
      <c r="B311" s="21"/>
      <c r="C311" s="28"/>
      <c r="D311" s="24" t="s">
        <v>1441</v>
      </c>
      <c r="E311" s="24" t="s">
        <v>524</v>
      </c>
      <c r="F311" s="24" t="s">
        <v>1442</v>
      </c>
      <c r="G311" s="24" t="s">
        <v>1447</v>
      </c>
      <c r="H311" s="24" t="s">
        <v>1448</v>
      </c>
      <c r="I311" s="24" t="s">
        <v>26</v>
      </c>
      <c r="J311" s="24" t="s">
        <v>1449</v>
      </c>
      <c r="K311" s="24" t="s">
        <v>1450</v>
      </c>
      <c r="L311" s="32" t="s">
        <v>15</v>
      </c>
      <c r="M311" s="25">
        <f t="shared" si="5"/>
        <v>1</v>
      </c>
      <c r="N311" s="21"/>
    </row>
    <row r="312" s="3" customFormat="1" ht="26" spans="1:14">
      <c r="A312" s="27"/>
      <c r="B312" s="21"/>
      <c r="C312" s="28"/>
      <c r="D312" s="24" t="s">
        <v>1441</v>
      </c>
      <c r="E312" s="24" t="s">
        <v>524</v>
      </c>
      <c r="F312" s="24" t="s">
        <v>1442</v>
      </c>
      <c r="G312" s="24" t="s">
        <v>1451</v>
      </c>
      <c r="H312" s="24" t="s">
        <v>1452</v>
      </c>
      <c r="I312" s="24" t="s">
        <v>28</v>
      </c>
      <c r="J312" s="24" t="s">
        <v>1453</v>
      </c>
      <c r="K312" s="24" t="s">
        <v>1454</v>
      </c>
      <c r="L312" s="32" t="s">
        <v>15</v>
      </c>
      <c r="M312" s="25">
        <f t="shared" si="5"/>
        <v>1</v>
      </c>
      <c r="N312" s="21"/>
    </row>
    <row r="313" s="3" customFormat="1" ht="39" spans="1:14">
      <c r="A313" s="27"/>
      <c r="B313" s="21"/>
      <c r="C313" s="29"/>
      <c r="D313" s="24" t="s">
        <v>1441</v>
      </c>
      <c r="E313" s="24" t="s">
        <v>524</v>
      </c>
      <c r="F313" s="24" t="s">
        <v>1442</v>
      </c>
      <c r="G313" s="24" t="s">
        <v>1455</v>
      </c>
      <c r="H313" s="24" t="s">
        <v>1456</v>
      </c>
      <c r="I313" s="24" t="s">
        <v>24</v>
      </c>
      <c r="J313" s="24" t="s">
        <v>1457</v>
      </c>
      <c r="K313" s="24" t="s">
        <v>1458</v>
      </c>
      <c r="L313" s="32" t="s">
        <v>15</v>
      </c>
      <c r="M313" s="25">
        <f t="shared" si="5"/>
        <v>1</v>
      </c>
      <c r="N313" s="21"/>
    </row>
    <row r="314" s="3" customFormat="1" ht="26" spans="1:14">
      <c r="A314" s="27"/>
      <c r="B314" s="21"/>
      <c r="C314" s="22" t="s">
        <v>559</v>
      </c>
      <c r="D314" s="22" t="s">
        <v>1459</v>
      </c>
      <c r="E314" s="24" t="s">
        <v>524</v>
      </c>
      <c r="F314" s="24" t="s">
        <v>1460</v>
      </c>
      <c r="G314" s="24" t="s">
        <v>1461</v>
      </c>
      <c r="H314" s="24" t="s">
        <v>1462</v>
      </c>
      <c r="I314" s="24" t="s">
        <v>22</v>
      </c>
      <c r="J314" s="24" t="s">
        <v>1463</v>
      </c>
      <c r="K314" s="24" t="s">
        <v>1464</v>
      </c>
      <c r="L314" s="32" t="s">
        <v>15</v>
      </c>
      <c r="M314" s="25">
        <f t="shared" si="5"/>
        <v>1</v>
      </c>
      <c r="N314" s="21"/>
    </row>
    <row r="315" s="3" customFormat="1" ht="39" spans="1:14">
      <c r="A315" s="27"/>
      <c r="B315" s="21"/>
      <c r="C315" s="28"/>
      <c r="D315" s="28"/>
      <c r="E315" s="24" t="s">
        <v>524</v>
      </c>
      <c r="F315" s="24" t="s">
        <v>1460</v>
      </c>
      <c r="G315" s="24" t="s">
        <v>1465</v>
      </c>
      <c r="H315" s="24" t="s">
        <v>1466</v>
      </c>
      <c r="I315" s="24" t="s">
        <v>26</v>
      </c>
      <c r="J315" s="24" t="s">
        <v>1467</v>
      </c>
      <c r="K315" s="24" t="s">
        <v>1468</v>
      </c>
      <c r="L315" s="32" t="s">
        <v>15</v>
      </c>
      <c r="M315" s="25">
        <f t="shared" si="5"/>
        <v>1</v>
      </c>
      <c r="N315" s="21"/>
    </row>
    <row r="316" s="3" customFormat="1" ht="26" spans="1:14">
      <c r="A316" s="27"/>
      <c r="B316" s="21"/>
      <c r="C316" s="28"/>
      <c r="D316" s="28"/>
      <c r="E316" s="24" t="s">
        <v>524</v>
      </c>
      <c r="F316" s="24" t="s">
        <v>1460</v>
      </c>
      <c r="G316" s="24" t="s">
        <v>1469</v>
      </c>
      <c r="H316" s="24" t="s">
        <v>1470</v>
      </c>
      <c r="I316" s="24" t="s">
        <v>28</v>
      </c>
      <c r="J316" s="24" t="s">
        <v>1471</v>
      </c>
      <c r="K316" s="24" t="s">
        <v>1472</v>
      </c>
      <c r="L316" s="32" t="s">
        <v>15</v>
      </c>
      <c r="M316" s="25">
        <f t="shared" si="5"/>
        <v>1</v>
      </c>
      <c r="N316" s="21"/>
    </row>
    <row r="317" s="3" customFormat="1" ht="26.5" customHeight="1" spans="1:14">
      <c r="A317" s="27"/>
      <c r="B317" s="21"/>
      <c r="C317" s="29"/>
      <c r="D317" s="29"/>
      <c r="E317" s="24" t="s">
        <v>524</v>
      </c>
      <c r="F317" s="24" t="s">
        <v>1460</v>
      </c>
      <c r="G317" s="24" t="s">
        <v>1473</v>
      </c>
      <c r="H317" s="24" t="s">
        <v>1456</v>
      </c>
      <c r="I317" s="24" t="s">
        <v>24</v>
      </c>
      <c r="J317" s="24" t="s">
        <v>1457</v>
      </c>
      <c r="K317" s="24" t="s">
        <v>1474</v>
      </c>
      <c r="L317" s="32" t="s">
        <v>15</v>
      </c>
      <c r="M317" s="25">
        <f t="shared" si="5"/>
        <v>1</v>
      </c>
      <c r="N317" s="21"/>
    </row>
    <row r="318" s="3" customFormat="1" ht="26" spans="1:14">
      <c r="A318" s="27"/>
      <c r="B318" s="21"/>
      <c r="C318" s="22" t="s">
        <v>1475</v>
      </c>
      <c r="D318" s="22" t="s">
        <v>1475</v>
      </c>
      <c r="E318" s="23" t="s">
        <v>524</v>
      </c>
      <c r="F318" s="24" t="s">
        <v>1476</v>
      </c>
      <c r="G318" s="23" t="s">
        <v>1477</v>
      </c>
      <c r="H318" s="23" t="s">
        <v>1478</v>
      </c>
      <c r="I318" s="23" t="s">
        <v>22</v>
      </c>
      <c r="J318" s="23" t="s">
        <v>1479</v>
      </c>
      <c r="K318" s="23" t="s">
        <v>1480</v>
      </c>
      <c r="L318" s="24" t="s">
        <v>17</v>
      </c>
      <c r="M318" s="33">
        <v>0.33</v>
      </c>
      <c r="N318" s="21"/>
    </row>
    <row r="319" s="3" customFormat="1" ht="26" spans="1:14">
      <c r="A319" s="27"/>
      <c r="B319" s="21"/>
      <c r="C319" s="28"/>
      <c r="D319" s="28"/>
      <c r="E319" s="23" t="s">
        <v>524</v>
      </c>
      <c r="F319" s="24" t="s">
        <v>1476</v>
      </c>
      <c r="G319" s="23" t="s">
        <v>1481</v>
      </c>
      <c r="H319" s="23" t="s">
        <v>1482</v>
      </c>
      <c r="I319" s="23" t="s">
        <v>26</v>
      </c>
      <c r="J319" s="23" t="s">
        <v>1483</v>
      </c>
      <c r="K319" s="23" t="s">
        <v>1484</v>
      </c>
      <c r="L319" s="24" t="s">
        <v>17</v>
      </c>
      <c r="M319" s="33">
        <v>0.33</v>
      </c>
      <c r="N319" s="21"/>
    </row>
    <row r="320" s="3" customFormat="1" ht="26" spans="1:14">
      <c r="A320" s="27"/>
      <c r="B320" s="21"/>
      <c r="C320" s="28"/>
      <c r="D320" s="28"/>
      <c r="E320" s="23" t="s">
        <v>524</v>
      </c>
      <c r="F320" s="24" t="s">
        <v>1476</v>
      </c>
      <c r="G320" s="23" t="s">
        <v>1485</v>
      </c>
      <c r="H320" s="23" t="s">
        <v>1486</v>
      </c>
      <c r="I320" s="23" t="s">
        <v>28</v>
      </c>
      <c r="J320" s="23" t="s">
        <v>1487</v>
      </c>
      <c r="K320" s="23" t="s">
        <v>1488</v>
      </c>
      <c r="L320" s="24" t="s">
        <v>17</v>
      </c>
      <c r="M320" s="33">
        <v>0.33</v>
      </c>
      <c r="N320" s="21"/>
    </row>
    <row r="321" s="3" customFormat="1" ht="26" spans="1:14">
      <c r="A321" s="27"/>
      <c r="B321" s="21"/>
      <c r="C321" s="29"/>
      <c r="D321" s="29"/>
      <c r="E321" s="23" t="s">
        <v>524</v>
      </c>
      <c r="F321" s="24" t="s">
        <v>1476</v>
      </c>
      <c r="G321" s="23" t="s">
        <v>1489</v>
      </c>
      <c r="H321" s="23" t="s">
        <v>1490</v>
      </c>
      <c r="I321" s="23" t="s">
        <v>24</v>
      </c>
      <c r="J321" s="23" t="s">
        <v>1491</v>
      </c>
      <c r="K321" s="23" t="s">
        <v>1492</v>
      </c>
      <c r="L321" s="24" t="s">
        <v>17</v>
      </c>
      <c r="M321" s="33">
        <v>0.33</v>
      </c>
      <c r="N321" s="21"/>
    </row>
    <row r="322" s="3" customFormat="1" ht="26" spans="1:14">
      <c r="A322" s="27"/>
      <c r="B322" s="21"/>
      <c r="C322" s="22" t="s">
        <v>1493</v>
      </c>
      <c r="D322" s="22" t="s">
        <v>1493</v>
      </c>
      <c r="E322" s="23" t="s">
        <v>524</v>
      </c>
      <c r="F322" s="24" t="s">
        <v>1494</v>
      </c>
      <c r="G322" s="23" t="s">
        <v>1495</v>
      </c>
      <c r="H322" s="23" t="s">
        <v>1496</v>
      </c>
      <c r="I322" s="23" t="s">
        <v>22</v>
      </c>
      <c r="J322" s="23" t="s">
        <v>1497</v>
      </c>
      <c r="K322" s="23" t="s">
        <v>1498</v>
      </c>
      <c r="L322" s="32" t="s">
        <v>15</v>
      </c>
      <c r="M322" s="25">
        <f t="shared" ref="M322" si="6">IF(L322="新增",1,IF(L322="复用",1/3,0))</f>
        <v>1</v>
      </c>
      <c r="N322" s="21"/>
    </row>
    <row r="323" s="3" customFormat="1" ht="39" spans="1:14">
      <c r="A323" s="27"/>
      <c r="B323" s="21"/>
      <c r="C323" s="28"/>
      <c r="D323" s="28"/>
      <c r="E323" s="23" t="s">
        <v>524</v>
      </c>
      <c r="F323" s="24" t="s">
        <v>1494</v>
      </c>
      <c r="G323" s="23" t="s">
        <v>1499</v>
      </c>
      <c r="H323" s="23" t="s">
        <v>1500</v>
      </c>
      <c r="I323" s="23" t="s">
        <v>26</v>
      </c>
      <c r="J323" s="23" t="s">
        <v>1501</v>
      </c>
      <c r="K323" s="23" t="s">
        <v>1502</v>
      </c>
      <c r="L323" s="32" t="s">
        <v>15</v>
      </c>
      <c r="M323" s="25">
        <f t="shared" ref="M323:M327" si="7">IF(L323="新增",1,IF(L323="复用",1/3,0))</f>
        <v>1</v>
      </c>
      <c r="N323" s="21"/>
    </row>
    <row r="324" s="3" customFormat="1" ht="26" spans="1:14">
      <c r="A324" s="27"/>
      <c r="B324" s="21"/>
      <c r="C324" s="28"/>
      <c r="D324" s="28"/>
      <c r="E324" s="23" t="s">
        <v>524</v>
      </c>
      <c r="F324" s="24" t="s">
        <v>1494</v>
      </c>
      <c r="G324" s="23" t="s">
        <v>1503</v>
      </c>
      <c r="H324" s="23" t="s">
        <v>1504</v>
      </c>
      <c r="I324" s="23" t="s">
        <v>28</v>
      </c>
      <c r="J324" s="23" t="s">
        <v>1505</v>
      </c>
      <c r="K324" s="23" t="s">
        <v>1506</v>
      </c>
      <c r="L324" s="32" t="s">
        <v>15</v>
      </c>
      <c r="M324" s="25">
        <f t="shared" si="7"/>
        <v>1</v>
      </c>
      <c r="N324" s="21"/>
    </row>
    <row r="325" s="3" customFormat="1" ht="26" spans="1:14">
      <c r="A325" s="27"/>
      <c r="B325" s="21"/>
      <c r="C325" s="29"/>
      <c r="D325" s="29"/>
      <c r="E325" s="23" t="s">
        <v>524</v>
      </c>
      <c r="F325" s="24" t="s">
        <v>1494</v>
      </c>
      <c r="G325" s="23" t="s">
        <v>1507</v>
      </c>
      <c r="H325" s="23" t="s">
        <v>1508</v>
      </c>
      <c r="I325" s="23" t="s">
        <v>24</v>
      </c>
      <c r="J325" s="23" t="s">
        <v>1509</v>
      </c>
      <c r="K325" s="23" t="s">
        <v>1510</v>
      </c>
      <c r="L325" s="32" t="s">
        <v>15</v>
      </c>
      <c r="M325" s="25">
        <f t="shared" si="7"/>
        <v>1</v>
      </c>
      <c r="N325" s="21"/>
    </row>
    <row r="326" s="3" customFormat="1" ht="26" spans="1:14">
      <c r="A326" s="27"/>
      <c r="B326" s="21"/>
      <c r="C326" s="22" t="s">
        <v>571</v>
      </c>
      <c r="D326" s="22" t="s">
        <v>571</v>
      </c>
      <c r="E326" s="23" t="s">
        <v>524</v>
      </c>
      <c r="F326" s="24" t="s">
        <v>1511</v>
      </c>
      <c r="G326" s="23" t="s">
        <v>1512</v>
      </c>
      <c r="H326" s="23" t="s">
        <v>1513</v>
      </c>
      <c r="I326" s="23" t="s">
        <v>22</v>
      </c>
      <c r="J326" s="23" t="s">
        <v>1514</v>
      </c>
      <c r="K326" s="23" t="s">
        <v>1515</v>
      </c>
      <c r="L326" s="32" t="s">
        <v>15</v>
      </c>
      <c r="M326" s="25">
        <f t="shared" si="7"/>
        <v>1</v>
      </c>
      <c r="N326" s="21"/>
    </row>
    <row r="327" s="3" customFormat="1" ht="26" spans="1:14">
      <c r="A327" s="27"/>
      <c r="B327" s="21"/>
      <c r="C327" s="28"/>
      <c r="D327" s="28"/>
      <c r="E327" s="23" t="s">
        <v>524</v>
      </c>
      <c r="F327" s="24" t="s">
        <v>1511</v>
      </c>
      <c r="G327" s="23" t="s">
        <v>1516</v>
      </c>
      <c r="H327" s="23" t="s">
        <v>1517</v>
      </c>
      <c r="I327" s="23" t="s">
        <v>26</v>
      </c>
      <c r="J327" s="23" t="s">
        <v>1518</v>
      </c>
      <c r="K327" s="23" t="s">
        <v>1519</v>
      </c>
      <c r="L327" s="32" t="s">
        <v>15</v>
      </c>
      <c r="M327" s="25">
        <f t="shared" si="7"/>
        <v>1</v>
      </c>
      <c r="N327" s="21"/>
    </row>
    <row r="328" s="3" customFormat="1" ht="26" spans="1:14">
      <c r="A328" s="27"/>
      <c r="B328" s="21"/>
      <c r="C328" s="28"/>
      <c r="D328" s="28"/>
      <c r="E328" s="23" t="s">
        <v>524</v>
      </c>
      <c r="F328" s="24" t="s">
        <v>1511</v>
      </c>
      <c r="G328" s="23" t="s">
        <v>1520</v>
      </c>
      <c r="H328" s="23" t="s">
        <v>1521</v>
      </c>
      <c r="I328" s="23" t="s">
        <v>28</v>
      </c>
      <c r="J328" s="23" t="s">
        <v>1522</v>
      </c>
      <c r="K328" s="23" t="s">
        <v>1523</v>
      </c>
      <c r="L328" s="32" t="s">
        <v>15</v>
      </c>
      <c r="M328" s="25">
        <f t="shared" ref="M328:M349" si="8">IF(L328="新增",1,IF(L328="复用",1/3,0))</f>
        <v>1</v>
      </c>
      <c r="N328" s="21"/>
    </row>
    <row r="329" s="3" customFormat="1" ht="26" spans="1:14">
      <c r="A329" s="27"/>
      <c r="B329" s="21"/>
      <c r="C329" s="29"/>
      <c r="D329" s="29"/>
      <c r="E329" s="23" t="s">
        <v>524</v>
      </c>
      <c r="F329" s="24" t="s">
        <v>1511</v>
      </c>
      <c r="G329" s="23" t="s">
        <v>1524</v>
      </c>
      <c r="H329" s="23" t="s">
        <v>1525</v>
      </c>
      <c r="I329" s="23" t="s">
        <v>24</v>
      </c>
      <c r="J329" s="23" t="s">
        <v>1526</v>
      </c>
      <c r="K329" s="23" t="s">
        <v>1527</v>
      </c>
      <c r="L329" s="32" t="s">
        <v>15</v>
      </c>
      <c r="M329" s="25">
        <f t="shared" si="8"/>
        <v>1</v>
      </c>
      <c r="N329" s="21"/>
    </row>
    <row r="330" s="3" customFormat="1" ht="26" spans="1:14">
      <c r="A330" s="27"/>
      <c r="B330" s="21"/>
      <c r="C330" s="22" t="s">
        <v>1528</v>
      </c>
      <c r="D330" s="22" t="s">
        <v>1529</v>
      </c>
      <c r="E330" s="23" t="s">
        <v>524</v>
      </c>
      <c r="F330" s="24" t="s">
        <v>1530</v>
      </c>
      <c r="G330" s="23" t="s">
        <v>1531</v>
      </c>
      <c r="H330" s="23" t="s">
        <v>1532</v>
      </c>
      <c r="I330" s="23" t="s">
        <v>22</v>
      </c>
      <c r="J330" s="23" t="s">
        <v>1533</v>
      </c>
      <c r="K330" s="23" t="s">
        <v>1534</v>
      </c>
      <c r="L330" s="32" t="s">
        <v>15</v>
      </c>
      <c r="M330" s="25">
        <f t="shared" si="8"/>
        <v>1</v>
      </c>
      <c r="N330" s="21"/>
    </row>
    <row r="331" s="3" customFormat="1" ht="39" spans="1:14">
      <c r="A331" s="27"/>
      <c r="B331" s="21"/>
      <c r="C331" s="28"/>
      <c r="D331" s="28"/>
      <c r="E331" s="23" t="s">
        <v>524</v>
      </c>
      <c r="F331" s="24" t="s">
        <v>1530</v>
      </c>
      <c r="G331" s="23" t="s">
        <v>1535</v>
      </c>
      <c r="H331" s="23" t="s">
        <v>1536</v>
      </c>
      <c r="I331" s="23" t="s">
        <v>26</v>
      </c>
      <c r="J331" s="23" t="s">
        <v>1537</v>
      </c>
      <c r="K331" s="23" t="s">
        <v>1538</v>
      </c>
      <c r="L331" s="32" t="s">
        <v>15</v>
      </c>
      <c r="M331" s="25">
        <f t="shared" si="8"/>
        <v>1</v>
      </c>
      <c r="N331" s="21"/>
    </row>
    <row r="332" s="3" customFormat="1" ht="26" spans="1:14">
      <c r="A332" s="27"/>
      <c r="B332" s="21"/>
      <c r="C332" s="28"/>
      <c r="D332" s="28"/>
      <c r="E332" s="23" t="s">
        <v>524</v>
      </c>
      <c r="F332" s="24" t="s">
        <v>1530</v>
      </c>
      <c r="G332" s="23" t="s">
        <v>1539</v>
      </c>
      <c r="H332" s="23" t="s">
        <v>1540</v>
      </c>
      <c r="I332" s="23" t="s">
        <v>28</v>
      </c>
      <c r="J332" s="23" t="s">
        <v>1541</v>
      </c>
      <c r="K332" s="23" t="s">
        <v>1542</v>
      </c>
      <c r="L332" s="32" t="s">
        <v>15</v>
      </c>
      <c r="M332" s="25">
        <f t="shared" si="8"/>
        <v>1</v>
      </c>
      <c r="N332" s="21"/>
    </row>
    <row r="333" s="3" customFormat="1" ht="39" spans="1:14">
      <c r="A333" s="27"/>
      <c r="B333" s="21"/>
      <c r="C333" s="29"/>
      <c r="D333" s="29"/>
      <c r="E333" s="23" t="s">
        <v>524</v>
      </c>
      <c r="F333" s="24" t="s">
        <v>1530</v>
      </c>
      <c r="G333" s="23" t="s">
        <v>1543</v>
      </c>
      <c r="H333" s="23" t="s">
        <v>1544</v>
      </c>
      <c r="I333" s="23" t="s">
        <v>24</v>
      </c>
      <c r="J333" s="23" t="s">
        <v>1545</v>
      </c>
      <c r="K333" s="23" t="s">
        <v>1546</v>
      </c>
      <c r="L333" s="32" t="s">
        <v>15</v>
      </c>
      <c r="M333" s="25">
        <f t="shared" si="8"/>
        <v>1</v>
      </c>
      <c r="N333" s="21"/>
    </row>
    <row r="334" s="3" customFormat="1" ht="26" spans="1:14">
      <c r="A334" s="27"/>
      <c r="B334" s="21"/>
      <c r="C334" s="22" t="s">
        <v>1547</v>
      </c>
      <c r="D334" s="22" t="s">
        <v>1548</v>
      </c>
      <c r="E334" s="23" t="s">
        <v>524</v>
      </c>
      <c r="F334" s="24" t="s">
        <v>1549</v>
      </c>
      <c r="G334" s="23" t="s">
        <v>1550</v>
      </c>
      <c r="H334" s="23" t="s">
        <v>1551</v>
      </c>
      <c r="I334" s="23" t="s">
        <v>22</v>
      </c>
      <c r="J334" s="23" t="s">
        <v>1552</v>
      </c>
      <c r="K334" s="23" t="s">
        <v>1553</v>
      </c>
      <c r="L334" s="32" t="s">
        <v>15</v>
      </c>
      <c r="M334" s="25">
        <f t="shared" si="8"/>
        <v>1</v>
      </c>
      <c r="N334" s="21"/>
    </row>
    <row r="335" s="3" customFormat="1" ht="39" spans="1:14">
      <c r="A335" s="27"/>
      <c r="B335" s="21"/>
      <c r="C335" s="28"/>
      <c r="D335" s="28"/>
      <c r="E335" s="23" t="s">
        <v>524</v>
      </c>
      <c r="F335" s="24" t="s">
        <v>1549</v>
      </c>
      <c r="G335" s="23" t="s">
        <v>1554</v>
      </c>
      <c r="H335" s="23" t="s">
        <v>1555</v>
      </c>
      <c r="I335" s="23" t="s">
        <v>26</v>
      </c>
      <c r="J335" s="23" t="s">
        <v>1556</v>
      </c>
      <c r="K335" s="23" t="s">
        <v>1557</v>
      </c>
      <c r="L335" s="32" t="s">
        <v>15</v>
      </c>
      <c r="M335" s="25">
        <f t="shared" si="8"/>
        <v>1</v>
      </c>
      <c r="N335" s="21"/>
    </row>
    <row r="336" s="3" customFormat="1" ht="26" spans="1:14">
      <c r="A336" s="27"/>
      <c r="B336" s="21"/>
      <c r="C336" s="28"/>
      <c r="D336" s="28"/>
      <c r="E336" s="23" t="s">
        <v>524</v>
      </c>
      <c r="F336" s="24" t="s">
        <v>1549</v>
      </c>
      <c r="G336" s="23" t="s">
        <v>1558</v>
      </c>
      <c r="H336" s="23" t="s">
        <v>1559</v>
      </c>
      <c r="I336" s="23" t="s">
        <v>28</v>
      </c>
      <c r="J336" s="23" t="s">
        <v>1560</v>
      </c>
      <c r="K336" s="23" t="s">
        <v>1561</v>
      </c>
      <c r="L336" s="32" t="s">
        <v>15</v>
      </c>
      <c r="M336" s="25">
        <f t="shared" si="8"/>
        <v>1</v>
      </c>
      <c r="N336" s="21"/>
    </row>
    <row r="337" s="3" customFormat="1" ht="26" spans="1:14">
      <c r="A337" s="27"/>
      <c r="B337" s="21"/>
      <c r="C337" s="29"/>
      <c r="D337" s="29"/>
      <c r="E337" s="23" t="s">
        <v>524</v>
      </c>
      <c r="F337" s="24" t="s">
        <v>1549</v>
      </c>
      <c r="G337" s="23" t="s">
        <v>1562</v>
      </c>
      <c r="H337" s="23" t="s">
        <v>1563</v>
      </c>
      <c r="I337" s="23" t="s">
        <v>24</v>
      </c>
      <c r="J337" s="23" t="s">
        <v>1564</v>
      </c>
      <c r="K337" s="23" t="s">
        <v>1565</v>
      </c>
      <c r="L337" s="32" t="s">
        <v>15</v>
      </c>
      <c r="M337" s="25">
        <f t="shared" si="8"/>
        <v>1</v>
      </c>
      <c r="N337" s="21"/>
    </row>
    <row r="338" s="3" customFormat="1" ht="26" spans="1:14">
      <c r="A338" s="27"/>
      <c r="B338" s="21"/>
      <c r="C338" s="22" t="s">
        <v>1566</v>
      </c>
      <c r="D338" s="22" t="s">
        <v>1567</v>
      </c>
      <c r="E338" s="23" t="s">
        <v>524</v>
      </c>
      <c r="F338" s="24" t="s">
        <v>1568</v>
      </c>
      <c r="G338" s="23" t="s">
        <v>1569</v>
      </c>
      <c r="H338" s="23" t="s">
        <v>1570</v>
      </c>
      <c r="I338" s="23" t="s">
        <v>22</v>
      </c>
      <c r="J338" s="23" t="s">
        <v>1571</v>
      </c>
      <c r="K338" s="23" t="s">
        <v>1572</v>
      </c>
      <c r="L338" s="32" t="s">
        <v>15</v>
      </c>
      <c r="M338" s="25">
        <f t="shared" si="8"/>
        <v>1</v>
      </c>
      <c r="N338" s="21"/>
    </row>
    <row r="339" s="3" customFormat="1" ht="39" spans="1:14">
      <c r="A339" s="27"/>
      <c r="B339" s="21"/>
      <c r="C339" s="28"/>
      <c r="D339" s="28"/>
      <c r="E339" s="23" t="s">
        <v>524</v>
      </c>
      <c r="F339" s="24" t="s">
        <v>1568</v>
      </c>
      <c r="G339" s="23" t="s">
        <v>1573</v>
      </c>
      <c r="H339" s="23" t="s">
        <v>1574</v>
      </c>
      <c r="I339" s="23" t="s">
        <v>26</v>
      </c>
      <c r="J339" s="23" t="s">
        <v>1575</v>
      </c>
      <c r="K339" s="23" t="s">
        <v>1576</v>
      </c>
      <c r="L339" s="32" t="s">
        <v>15</v>
      </c>
      <c r="M339" s="25">
        <f t="shared" si="8"/>
        <v>1</v>
      </c>
      <c r="N339" s="21"/>
    </row>
    <row r="340" s="3" customFormat="1" ht="26" spans="1:14">
      <c r="A340" s="27"/>
      <c r="B340" s="21"/>
      <c r="C340" s="28"/>
      <c r="D340" s="28"/>
      <c r="E340" s="23" t="s">
        <v>524</v>
      </c>
      <c r="F340" s="24" t="s">
        <v>1568</v>
      </c>
      <c r="G340" s="23" t="s">
        <v>1577</v>
      </c>
      <c r="H340" s="23" t="s">
        <v>1578</v>
      </c>
      <c r="I340" s="23" t="s">
        <v>28</v>
      </c>
      <c r="J340" s="23" t="s">
        <v>1579</v>
      </c>
      <c r="K340" s="23" t="s">
        <v>1580</v>
      </c>
      <c r="L340" s="32" t="s">
        <v>15</v>
      </c>
      <c r="M340" s="25">
        <f t="shared" si="8"/>
        <v>1</v>
      </c>
      <c r="N340" s="21"/>
    </row>
    <row r="341" s="3" customFormat="1" ht="26" spans="1:14">
      <c r="A341" s="27"/>
      <c r="B341" s="21"/>
      <c r="C341" s="29"/>
      <c r="D341" s="29"/>
      <c r="E341" s="23" t="s">
        <v>524</v>
      </c>
      <c r="F341" s="24" t="s">
        <v>1568</v>
      </c>
      <c r="G341" s="23" t="s">
        <v>1581</v>
      </c>
      <c r="H341" s="23" t="s">
        <v>1582</v>
      </c>
      <c r="I341" s="23" t="s">
        <v>24</v>
      </c>
      <c r="J341" s="23" t="s">
        <v>1583</v>
      </c>
      <c r="K341" s="23" t="s">
        <v>1584</v>
      </c>
      <c r="L341" s="32" t="s">
        <v>15</v>
      </c>
      <c r="M341" s="25">
        <f t="shared" si="8"/>
        <v>1</v>
      </c>
      <c r="N341" s="21"/>
    </row>
    <row r="342" s="3" customFormat="1" ht="26" spans="1:14">
      <c r="A342" s="27"/>
      <c r="B342" s="21"/>
      <c r="C342" s="22" t="s">
        <v>1585</v>
      </c>
      <c r="D342" s="22" t="s">
        <v>1586</v>
      </c>
      <c r="E342" s="23" t="s">
        <v>524</v>
      </c>
      <c r="F342" s="24" t="s">
        <v>1587</v>
      </c>
      <c r="G342" s="23" t="s">
        <v>1588</v>
      </c>
      <c r="H342" s="23" t="s">
        <v>1589</v>
      </c>
      <c r="I342" s="23" t="s">
        <v>22</v>
      </c>
      <c r="J342" s="23" t="s">
        <v>1590</v>
      </c>
      <c r="K342" s="23" t="s">
        <v>1591</v>
      </c>
      <c r="L342" s="32" t="s">
        <v>15</v>
      </c>
      <c r="M342" s="25">
        <f t="shared" si="8"/>
        <v>1</v>
      </c>
      <c r="N342" s="21"/>
    </row>
    <row r="343" s="3" customFormat="1" ht="39" spans="1:14">
      <c r="A343" s="27"/>
      <c r="B343" s="21"/>
      <c r="C343" s="28"/>
      <c r="D343" s="28"/>
      <c r="E343" s="23" t="s">
        <v>524</v>
      </c>
      <c r="F343" s="24" t="s">
        <v>1587</v>
      </c>
      <c r="G343" s="23" t="s">
        <v>1592</v>
      </c>
      <c r="H343" s="23" t="s">
        <v>1593</v>
      </c>
      <c r="I343" s="23" t="s">
        <v>26</v>
      </c>
      <c r="J343" s="23" t="s">
        <v>1594</v>
      </c>
      <c r="K343" s="23" t="s">
        <v>1595</v>
      </c>
      <c r="L343" s="32" t="s">
        <v>15</v>
      </c>
      <c r="M343" s="25">
        <f t="shared" si="8"/>
        <v>1</v>
      </c>
      <c r="N343" s="21"/>
    </row>
    <row r="344" s="3" customFormat="1" ht="26" spans="1:14">
      <c r="A344" s="27"/>
      <c r="B344" s="21"/>
      <c r="C344" s="28"/>
      <c r="D344" s="28"/>
      <c r="E344" s="23" t="s">
        <v>524</v>
      </c>
      <c r="F344" s="24" t="s">
        <v>1587</v>
      </c>
      <c r="G344" s="23" t="s">
        <v>1596</v>
      </c>
      <c r="H344" s="23" t="s">
        <v>1597</v>
      </c>
      <c r="I344" s="23" t="s">
        <v>28</v>
      </c>
      <c r="J344" s="23" t="s">
        <v>1598</v>
      </c>
      <c r="K344" s="23" t="s">
        <v>1599</v>
      </c>
      <c r="L344" s="32" t="s">
        <v>15</v>
      </c>
      <c r="M344" s="25">
        <f t="shared" si="8"/>
        <v>1</v>
      </c>
      <c r="N344" s="21"/>
    </row>
    <row r="345" s="3" customFormat="1" ht="26" spans="1:14">
      <c r="A345" s="27"/>
      <c r="B345" s="21"/>
      <c r="C345" s="29"/>
      <c r="D345" s="29"/>
      <c r="E345" s="23" t="s">
        <v>524</v>
      </c>
      <c r="F345" s="24" t="s">
        <v>1587</v>
      </c>
      <c r="G345" s="23" t="s">
        <v>1600</v>
      </c>
      <c r="H345" s="23" t="s">
        <v>1601</v>
      </c>
      <c r="I345" s="23" t="s">
        <v>24</v>
      </c>
      <c r="J345" s="23" t="s">
        <v>1602</v>
      </c>
      <c r="K345" s="23" t="s">
        <v>1603</v>
      </c>
      <c r="L345" s="32" t="s">
        <v>15</v>
      </c>
      <c r="M345" s="25">
        <f t="shared" si="8"/>
        <v>1</v>
      </c>
      <c r="N345" s="21"/>
    </row>
    <row r="346" s="3" customFormat="1" ht="26" spans="1:14">
      <c r="A346" s="27"/>
      <c r="B346" s="21"/>
      <c r="C346" s="22" t="s">
        <v>1604</v>
      </c>
      <c r="D346" s="22" t="s">
        <v>1605</v>
      </c>
      <c r="E346" s="23" t="s">
        <v>524</v>
      </c>
      <c r="F346" s="24" t="s">
        <v>1606</v>
      </c>
      <c r="G346" s="23" t="s">
        <v>1607</v>
      </c>
      <c r="H346" s="23" t="s">
        <v>1608</v>
      </c>
      <c r="I346" s="23" t="s">
        <v>22</v>
      </c>
      <c r="J346" s="23" t="s">
        <v>1609</v>
      </c>
      <c r="K346" s="23" t="s">
        <v>1610</v>
      </c>
      <c r="L346" s="32" t="s">
        <v>15</v>
      </c>
      <c r="M346" s="25">
        <f t="shared" si="8"/>
        <v>1</v>
      </c>
      <c r="N346" s="21"/>
    </row>
    <row r="347" s="3" customFormat="1" ht="39" spans="1:14">
      <c r="A347" s="27"/>
      <c r="B347" s="21"/>
      <c r="C347" s="28"/>
      <c r="D347" s="28"/>
      <c r="E347" s="23" t="s">
        <v>524</v>
      </c>
      <c r="F347" s="24" t="s">
        <v>1606</v>
      </c>
      <c r="G347" s="23" t="s">
        <v>1611</v>
      </c>
      <c r="H347" s="23" t="s">
        <v>1612</v>
      </c>
      <c r="I347" s="23" t="s">
        <v>26</v>
      </c>
      <c r="J347" s="23" t="s">
        <v>1613</v>
      </c>
      <c r="K347" s="23" t="s">
        <v>1614</v>
      </c>
      <c r="L347" s="32" t="s">
        <v>15</v>
      </c>
      <c r="M347" s="25">
        <f t="shared" si="8"/>
        <v>1</v>
      </c>
      <c r="N347" s="21"/>
    </row>
    <row r="348" s="3" customFormat="1" ht="26" spans="1:14">
      <c r="A348" s="27"/>
      <c r="B348" s="21"/>
      <c r="C348" s="28"/>
      <c r="D348" s="28"/>
      <c r="E348" s="23" t="s">
        <v>524</v>
      </c>
      <c r="F348" s="24" t="s">
        <v>1606</v>
      </c>
      <c r="G348" s="23" t="s">
        <v>1615</v>
      </c>
      <c r="H348" s="23" t="s">
        <v>1616</v>
      </c>
      <c r="I348" s="23" t="s">
        <v>28</v>
      </c>
      <c r="J348" s="23" t="s">
        <v>1617</v>
      </c>
      <c r="K348" s="23" t="s">
        <v>1618</v>
      </c>
      <c r="L348" s="32" t="s">
        <v>15</v>
      </c>
      <c r="M348" s="25">
        <f t="shared" si="8"/>
        <v>1</v>
      </c>
      <c r="N348" s="21"/>
    </row>
    <row r="349" s="3" customFormat="1" ht="26" spans="1:14">
      <c r="A349" s="27"/>
      <c r="B349" s="21"/>
      <c r="C349" s="29"/>
      <c r="D349" s="29"/>
      <c r="E349" s="23" t="s">
        <v>524</v>
      </c>
      <c r="F349" s="24" t="s">
        <v>1606</v>
      </c>
      <c r="G349" s="23" t="s">
        <v>1619</v>
      </c>
      <c r="H349" s="23" t="s">
        <v>1620</v>
      </c>
      <c r="I349" s="23" t="s">
        <v>24</v>
      </c>
      <c r="J349" s="23" t="s">
        <v>1621</v>
      </c>
      <c r="K349" s="23" t="s">
        <v>1622</v>
      </c>
      <c r="L349" s="32" t="s">
        <v>15</v>
      </c>
      <c r="M349" s="25">
        <f t="shared" si="8"/>
        <v>1</v>
      </c>
      <c r="N349" s="21"/>
    </row>
    <row r="350" s="3" customFormat="1" ht="26" spans="1:14">
      <c r="A350" s="27"/>
      <c r="B350" s="21"/>
      <c r="C350" s="22" t="s">
        <v>1623</v>
      </c>
      <c r="D350" s="22" t="s">
        <v>1624</v>
      </c>
      <c r="E350" s="23" t="s">
        <v>524</v>
      </c>
      <c r="F350" s="24" t="s">
        <v>1625</v>
      </c>
      <c r="G350" s="23" t="s">
        <v>1626</v>
      </c>
      <c r="H350" s="23" t="s">
        <v>1627</v>
      </c>
      <c r="I350" s="23" t="s">
        <v>22</v>
      </c>
      <c r="J350" s="23" t="s">
        <v>1628</v>
      </c>
      <c r="K350" s="23" t="s">
        <v>1629</v>
      </c>
      <c r="L350" s="24" t="s">
        <v>17</v>
      </c>
      <c r="M350" s="33">
        <v>0.33</v>
      </c>
      <c r="N350" s="21"/>
    </row>
    <row r="351" s="3" customFormat="1" ht="39" spans="1:14">
      <c r="A351" s="27"/>
      <c r="B351" s="21"/>
      <c r="C351" s="28"/>
      <c r="D351" s="28"/>
      <c r="E351" s="23" t="s">
        <v>524</v>
      </c>
      <c r="F351" s="24" t="s">
        <v>1625</v>
      </c>
      <c r="G351" s="23" t="s">
        <v>1630</v>
      </c>
      <c r="H351" s="23" t="s">
        <v>1631</v>
      </c>
      <c r="I351" s="23" t="s">
        <v>26</v>
      </c>
      <c r="J351" s="23" t="s">
        <v>1632</v>
      </c>
      <c r="K351" s="23" t="s">
        <v>1633</v>
      </c>
      <c r="L351" s="24" t="s">
        <v>17</v>
      </c>
      <c r="M351" s="33">
        <v>0.33</v>
      </c>
      <c r="N351" s="21"/>
    </row>
    <row r="352" s="3" customFormat="1" ht="26" spans="1:14">
      <c r="A352" s="27"/>
      <c r="B352" s="21"/>
      <c r="C352" s="28"/>
      <c r="D352" s="28"/>
      <c r="E352" s="23" t="s">
        <v>524</v>
      </c>
      <c r="F352" s="24" t="s">
        <v>1625</v>
      </c>
      <c r="G352" s="23" t="s">
        <v>1634</v>
      </c>
      <c r="H352" s="23" t="s">
        <v>1635</v>
      </c>
      <c r="I352" s="23" t="s">
        <v>28</v>
      </c>
      <c r="J352" s="23" t="s">
        <v>1636</v>
      </c>
      <c r="K352" s="23" t="s">
        <v>1637</v>
      </c>
      <c r="L352" s="24" t="s">
        <v>17</v>
      </c>
      <c r="M352" s="33">
        <v>0.33</v>
      </c>
      <c r="N352" s="21"/>
    </row>
    <row r="353" s="3" customFormat="1" ht="26" spans="1:14">
      <c r="A353" s="27"/>
      <c r="B353" s="21"/>
      <c r="C353" s="29"/>
      <c r="D353" s="29"/>
      <c r="E353" s="23" t="s">
        <v>524</v>
      </c>
      <c r="F353" s="24" t="s">
        <v>1625</v>
      </c>
      <c r="G353" s="23" t="s">
        <v>1638</v>
      </c>
      <c r="H353" s="23" t="s">
        <v>1639</v>
      </c>
      <c r="I353" s="23" t="s">
        <v>24</v>
      </c>
      <c r="J353" s="23" t="s">
        <v>1640</v>
      </c>
      <c r="K353" s="23" t="s">
        <v>1641</v>
      </c>
      <c r="L353" s="24" t="s">
        <v>17</v>
      </c>
      <c r="M353" s="33">
        <v>0.33</v>
      </c>
      <c r="N353" s="21"/>
    </row>
    <row r="354" s="3" customFormat="1" ht="26" spans="1:14">
      <c r="A354" s="27"/>
      <c r="B354" s="21"/>
      <c r="C354" s="22" t="s">
        <v>1642</v>
      </c>
      <c r="D354" s="22" t="s">
        <v>1643</v>
      </c>
      <c r="E354" s="23" t="s">
        <v>524</v>
      </c>
      <c r="F354" s="24" t="s">
        <v>1644</v>
      </c>
      <c r="G354" s="23" t="s">
        <v>1645</v>
      </c>
      <c r="H354" s="23" t="s">
        <v>1646</v>
      </c>
      <c r="I354" s="23" t="s">
        <v>22</v>
      </c>
      <c r="J354" s="23" t="s">
        <v>1647</v>
      </c>
      <c r="K354" s="23" t="s">
        <v>1648</v>
      </c>
      <c r="L354" s="32" t="s">
        <v>15</v>
      </c>
      <c r="M354" s="25">
        <f t="shared" ref="M354" si="9">IF(L354="新增",1,IF(L354="复用",1/3,0))</f>
        <v>1</v>
      </c>
      <c r="N354" s="21"/>
    </row>
    <row r="355" s="3" customFormat="1" ht="39" spans="1:14">
      <c r="A355" s="27"/>
      <c r="B355" s="21"/>
      <c r="C355" s="28"/>
      <c r="D355" s="28"/>
      <c r="E355" s="23" t="s">
        <v>524</v>
      </c>
      <c r="F355" s="24" t="s">
        <v>1644</v>
      </c>
      <c r="G355" s="23" t="s">
        <v>1649</v>
      </c>
      <c r="H355" s="23" t="s">
        <v>1650</v>
      </c>
      <c r="I355" s="23" t="s">
        <v>26</v>
      </c>
      <c r="J355" s="23" t="s">
        <v>1651</v>
      </c>
      <c r="K355" s="23" t="s">
        <v>1652</v>
      </c>
      <c r="L355" s="32" t="s">
        <v>15</v>
      </c>
      <c r="M355" s="25">
        <f t="shared" ref="M355:M373" si="10">IF(L355="新增",1,IF(L355="复用",1/3,0))</f>
        <v>1</v>
      </c>
      <c r="N355" s="21"/>
    </row>
    <row r="356" s="3" customFormat="1" ht="26" spans="1:14">
      <c r="A356" s="27"/>
      <c r="B356" s="21"/>
      <c r="C356" s="28"/>
      <c r="D356" s="28"/>
      <c r="E356" s="23" t="s">
        <v>524</v>
      </c>
      <c r="F356" s="24" t="s">
        <v>1644</v>
      </c>
      <c r="G356" s="23" t="s">
        <v>1653</v>
      </c>
      <c r="H356" s="23" t="s">
        <v>1654</v>
      </c>
      <c r="I356" s="23" t="s">
        <v>28</v>
      </c>
      <c r="J356" s="23" t="s">
        <v>1655</v>
      </c>
      <c r="K356" s="23" t="s">
        <v>1656</v>
      </c>
      <c r="L356" s="32" t="s">
        <v>15</v>
      </c>
      <c r="M356" s="25">
        <f t="shared" si="10"/>
        <v>1</v>
      </c>
      <c r="N356" s="21"/>
    </row>
    <row r="357" s="3" customFormat="1" ht="26" spans="1:14">
      <c r="A357" s="27"/>
      <c r="B357" s="21"/>
      <c r="C357" s="29"/>
      <c r="D357" s="29"/>
      <c r="E357" s="23" t="s">
        <v>524</v>
      </c>
      <c r="F357" s="24" t="s">
        <v>1644</v>
      </c>
      <c r="G357" s="23" t="s">
        <v>1657</v>
      </c>
      <c r="H357" s="23" t="s">
        <v>1658</v>
      </c>
      <c r="I357" s="23" t="s">
        <v>24</v>
      </c>
      <c r="J357" s="23" t="s">
        <v>1659</v>
      </c>
      <c r="K357" s="23" t="s">
        <v>1660</v>
      </c>
      <c r="L357" s="32" t="s">
        <v>15</v>
      </c>
      <c r="M357" s="25">
        <f t="shared" si="10"/>
        <v>1</v>
      </c>
      <c r="N357" s="21"/>
    </row>
    <row r="358" s="3" customFormat="1" ht="26" spans="1:14">
      <c r="A358" s="27"/>
      <c r="B358" s="21"/>
      <c r="C358" s="22" t="s">
        <v>1661</v>
      </c>
      <c r="D358" s="22" t="s">
        <v>1662</v>
      </c>
      <c r="E358" s="23" t="s">
        <v>524</v>
      </c>
      <c r="F358" s="24" t="s">
        <v>1663</v>
      </c>
      <c r="G358" s="23" t="s">
        <v>1664</v>
      </c>
      <c r="H358" s="23" t="s">
        <v>1665</v>
      </c>
      <c r="I358" s="23" t="s">
        <v>22</v>
      </c>
      <c r="J358" s="23" t="s">
        <v>1666</v>
      </c>
      <c r="K358" s="23" t="s">
        <v>1667</v>
      </c>
      <c r="L358" s="32" t="s">
        <v>15</v>
      </c>
      <c r="M358" s="25">
        <f t="shared" si="10"/>
        <v>1</v>
      </c>
      <c r="N358" s="21"/>
    </row>
    <row r="359" s="3" customFormat="1" ht="39" spans="1:14">
      <c r="A359" s="27"/>
      <c r="B359" s="21"/>
      <c r="C359" s="28"/>
      <c r="D359" s="28"/>
      <c r="E359" s="23" t="s">
        <v>524</v>
      </c>
      <c r="F359" s="24" t="s">
        <v>1663</v>
      </c>
      <c r="G359" s="23" t="s">
        <v>1668</v>
      </c>
      <c r="H359" s="23" t="s">
        <v>1669</v>
      </c>
      <c r="I359" s="23" t="s">
        <v>26</v>
      </c>
      <c r="J359" s="23" t="s">
        <v>1670</v>
      </c>
      <c r="K359" s="23" t="s">
        <v>1671</v>
      </c>
      <c r="L359" s="32" t="s">
        <v>15</v>
      </c>
      <c r="M359" s="25">
        <f t="shared" si="10"/>
        <v>1</v>
      </c>
      <c r="N359" s="21"/>
    </row>
    <row r="360" s="3" customFormat="1" ht="26" spans="1:14">
      <c r="A360" s="27"/>
      <c r="B360" s="21"/>
      <c r="C360" s="28"/>
      <c r="D360" s="28"/>
      <c r="E360" s="23" t="s">
        <v>524</v>
      </c>
      <c r="F360" s="24" t="s">
        <v>1663</v>
      </c>
      <c r="G360" s="23" t="s">
        <v>1672</v>
      </c>
      <c r="H360" s="23" t="s">
        <v>1673</v>
      </c>
      <c r="I360" s="23" t="s">
        <v>28</v>
      </c>
      <c r="J360" s="23" t="s">
        <v>1674</v>
      </c>
      <c r="K360" s="23" t="s">
        <v>1675</v>
      </c>
      <c r="L360" s="32" t="s">
        <v>15</v>
      </c>
      <c r="M360" s="25">
        <f t="shared" si="10"/>
        <v>1</v>
      </c>
      <c r="N360" s="21"/>
    </row>
    <row r="361" s="3" customFormat="1" ht="26" spans="1:14">
      <c r="A361" s="27"/>
      <c r="B361" s="21"/>
      <c r="C361" s="29"/>
      <c r="D361" s="29"/>
      <c r="E361" s="23" t="s">
        <v>524</v>
      </c>
      <c r="F361" s="24" t="s">
        <v>1663</v>
      </c>
      <c r="G361" s="23" t="s">
        <v>1676</v>
      </c>
      <c r="H361" s="23" t="s">
        <v>1677</v>
      </c>
      <c r="I361" s="23" t="s">
        <v>24</v>
      </c>
      <c r="J361" s="23" t="s">
        <v>1678</v>
      </c>
      <c r="K361" s="23" t="s">
        <v>1679</v>
      </c>
      <c r="L361" s="32" t="s">
        <v>15</v>
      </c>
      <c r="M361" s="25">
        <f t="shared" si="10"/>
        <v>1</v>
      </c>
      <c r="N361" s="21"/>
    </row>
    <row r="362" s="3" customFormat="1" ht="26" spans="1:14">
      <c r="A362" s="27"/>
      <c r="B362" s="21"/>
      <c r="C362" s="22" t="s">
        <v>1680</v>
      </c>
      <c r="D362" s="22" t="s">
        <v>1681</v>
      </c>
      <c r="E362" s="23" t="s">
        <v>524</v>
      </c>
      <c r="F362" s="24" t="s">
        <v>1682</v>
      </c>
      <c r="G362" s="23" t="s">
        <v>1683</v>
      </c>
      <c r="H362" s="23" t="s">
        <v>1684</v>
      </c>
      <c r="I362" s="23" t="s">
        <v>22</v>
      </c>
      <c r="J362" s="23" t="s">
        <v>1685</v>
      </c>
      <c r="K362" s="23" t="s">
        <v>1686</v>
      </c>
      <c r="L362" s="32" t="s">
        <v>15</v>
      </c>
      <c r="M362" s="25">
        <f t="shared" si="10"/>
        <v>1</v>
      </c>
      <c r="N362" s="21"/>
    </row>
    <row r="363" s="3" customFormat="1" ht="39" spans="1:14">
      <c r="A363" s="27"/>
      <c r="B363" s="21"/>
      <c r="C363" s="28"/>
      <c r="D363" s="28"/>
      <c r="E363" s="23" t="s">
        <v>524</v>
      </c>
      <c r="F363" s="24" t="s">
        <v>1682</v>
      </c>
      <c r="G363" s="23" t="s">
        <v>1687</v>
      </c>
      <c r="H363" s="23" t="s">
        <v>1688</v>
      </c>
      <c r="I363" s="23" t="s">
        <v>26</v>
      </c>
      <c r="J363" s="23" t="s">
        <v>1689</v>
      </c>
      <c r="K363" s="23" t="s">
        <v>1690</v>
      </c>
      <c r="L363" s="32" t="s">
        <v>15</v>
      </c>
      <c r="M363" s="25">
        <f t="shared" si="10"/>
        <v>1</v>
      </c>
      <c r="N363" s="21"/>
    </row>
    <row r="364" s="3" customFormat="1" ht="26" spans="1:14">
      <c r="A364" s="27"/>
      <c r="B364" s="21"/>
      <c r="C364" s="28"/>
      <c r="D364" s="28"/>
      <c r="E364" s="23" t="s">
        <v>524</v>
      </c>
      <c r="F364" s="24" t="s">
        <v>1682</v>
      </c>
      <c r="G364" s="23" t="s">
        <v>1691</v>
      </c>
      <c r="H364" s="23" t="s">
        <v>1692</v>
      </c>
      <c r="I364" s="23" t="s">
        <v>28</v>
      </c>
      <c r="J364" s="23" t="s">
        <v>1693</v>
      </c>
      <c r="K364" s="23" t="s">
        <v>1694</v>
      </c>
      <c r="L364" s="32" t="s">
        <v>15</v>
      </c>
      <c r="M364" s="25">
        <f t="shared" si="10"/>
        <v>1</v>
      </c>
      <c r="N364" s="21"/>
    </row>
    <row r="365" s="3" customFormat="1" ht="26" spans="1:14">
      <c r="A365" s="27"/>
      <c r="B365" s="21"/>
      <c r="C365" s="29"/>
      <c r="D365" s="29"/>
      <c r="E365" s="23" t="s">
        <v>524</v>
      </c>
      <c r="F365" s="24" t="s">
        <v>1682</v>
      </c>
      <c r="G365" s="23" t="s">
        <v>1695</v>
      </c>
      <c r="H365" s="23" t="s">
        <v>1696</v>
      </c>
      <c r="I365" s="23" t="s">
        <v>24</v>
      </c>
      <c r="J365" s="23" t="s">
        <v>1697</v>
      </c>
      <c r="K365" s="23" t="s">
        <v>1698</v>
      </c>
      <c r="L365" s="32" t="s">
        <v>15</v>
      </c>
      <c r="M365" s="25">
        <f t="shared" si="10"/>
        <v>1</v>
      </c>
      <c r="N365" s="21"/>
    </row>
    <row r="366" s="3" customFormat="1" ht="26" spans="1:14">
      <c r="A366" s="27"/>
      <c r="B366" s="21"/>
      <c r="C366" s="22" t="s">
        <v>1699</v>
      </c>
      <c r="D366" s="22" t="s">
        <v>1700</v>
      </c>
      <c r="E366" s="23" t="s">
        <v>524</v>
      </c>
      <c r="F366" s="24" t="s">
        <v>1701</v>
      </c>
      <c r="G366" s="23" t="s">
        <v>1702</v>
      </c>
      <c r="H366" s="23" t="s">
        <v>1703</v>
      </c>
      <c r="I366" s="23" t="s">
        <v>22</v>
      </c>
      <c r="J366" s="23" t="s">
        <v>1704</v>
      </c>
      <c r="K366" s="23" t="s">
        <v>1705</v>
      </c>
      <c r="L366" s="32" t="s">
        <v>15</v>
      </c>
      <c r="M366" s="25">
        <f t="shared" si="10"/>
        <v>1</v>
      </c>
      <c r="N366" s="21"/>
    </row>
    <row r="367" s="3" customFormat="1" ht="39" spans="1:14">
      <c r="A367" s="27"/>
      <c r="B367" s="21"/>
      <c r="C367" s="28"/>
      <c r="D367" s="28"/>
      <c r="E367" s="23" t="s">
        <v>524</v>
      </c>
      <c r="F367" s="24" t="s">
        <v>1701</v>
      </c>
      <c r="G367" s="23" t="s">
        <v>1706</v>
      </c>
      <c r="H367" s="23" t="s">
        <v>1707</v>
      </c>
      <c r="I367" s="23" t="s">
        <v>26</v>
      </c>
      <c r="J367" s="23" t="s">
        <v>1708</v>
      </c>
      <c r="K367" s="23" t="s">
        <v>1709</v>
      </c>
      <c r="L367" s="32" t="s">
        <v>15</v>
      </c>
      <c r="M367" s="25">
        <f t="shared" si="10"/>
        <v>1</v>
      </c>
      <c r="N367" s="21"/>
    </row>
    <row r="368" s="3" customFormat="1" ht="26" spans="1:14">
      <c r="A368" s="27"/>
      <c r="B368" s="21"/>
      <c r="C368" s="28"/>
      <c r="D368" s="28"/>
      <c r="E368" s="23" t="s">
        <v>524</v>
      </c>
      <c r="F368" s="24" t="s">
        <v>1701</v>
      </c>
      <c r="G368" s="23" t="s">
        <v>1710</v>
      </c>
      <c r="H368" s="23" t="s">
        <v>1711</v>
      </c>
      <c r="I368" s="23" t="s">
        <v>28</v>
      </c>
      <c r="J368" s="23" t="s">
        <v>1712</v>
      </c>
      <c r="K368" s="23" t="s">
        <v>1713</v>
      </c>
      <c r="L368" s="32" t="s">
        <v>15</v>
      </c>
      <c r="M368" s="25">
        <f t="shared" si="10"/>
        <v>1</v>
      </c>
      <c r="N368" s="21"/>
    </row>
    <row r="369" s="3" customFormat="1" ht="26" spans="1:14">
      <c r="A369" s="27"/>
      <c r="B369" s="21"/>
      <c r="C369" s="29"/>
      <c r="D369" s="29"/>
      <c r="E369" s="23" t="s">
        <v>524</v>
      </c>
      <c r="F369" s="24" t="s">
        <v>1701</v>
      </c>
      <c r="G369" s="23" t="s">
        <v>1714</v>
      </c>
      <c r="H369" s="23" t="s">
        <v>1715</v>
      </c>
      <c r="I369" s="23" t="s">
        <v>24</v>
      </c>
      <c r="J369" s="23" t="s">
        <v>1716</v>
      </c>
      <c r="K369" s="23" t="s">
        <v>1717</v>
      </c>
      <c r="L369" s="32" t="s">
        <v>15</v>
      </c>
      <c r="M369" s="25">
        <f t="shared" si="10"/>
        <v>1</v>
      </c>
      <c r="N369" s="21"/>
    </row>
    <row r="370" s="3" customFormat="1" ht="26" spans="1:14">
      <c r="A370" s="27"/>
      <c r="B370" s="21"/>
      <c r="C370" s="22" t="s">
        <v>1718</v>
      </c>
      <c r="D370" s="22" t="s">
        <v>1719</v>
      </c>
      <c r="E370" s="23" t="s">
        <v>524</v>
      </c>
      <c r="F370" s="24" t="s">
        <v>1720</v>
      </c>
      <c r="G370" s="23" t="s">
        <v>1721</v>
      </c>
      <c r="H370" s="23" t="s">
        <v>1722</v>
      </c>
      <c r="I370" s="23" t="s">
        <v>22</v>
      </c>
      <c r="J370" s="23" t="s">
        <v>1723</v>
      </c>
      <c r="K370" s="23" t="s">
        <v>1724</v>
      </c>
      <c r="L370" s="32" t="s">
        <v>15</v>
      </c>
      <c r="M370" s="25">
        <f t="shared" si="10"/>
        <v>1</v>
      </c>
      <c r="N370" s="21"/>
    </row>
    <row r="371" s="3" customFormat="1" ht="39" spans="1:14">
      <c r="A371" s="27"/>
      <c r="B371" s="21"/>
      <c r="C371" s="28"/>
      <c r="D371" s="28"/>
      <c r="E371" s="23" t="s">
        <v>524</v>
      </c>
      <c r="F371" s="24" t="s">
        <v>1720</v>
      </c>
      <c r="G371" s="23" t="s">
        <v>1725</v>
      </c>
      <c r="H371" s="23" t="s">
        <v>1726</v>
      </c>
      <c r="I371" s="23" t="s">
        <v>26</v>
      </c>
      <c r="J371" s="23" t="s">
        <v>1727</v>
      </c>
      <c r="K371" s="23" t="s">
        <v>1728</v>
      </c>
      <c r="L371" s="32" t="s">
        <v>15</v>
      </c>
      <c r="M371" s="25">
        <f t="shared" si="10"/>
        <v>1</v>
      </c>
      <c r="N371" s="21"/>
    </row>
    <row r="372" s="3" customFormat="1" ht="26" spans="1:14">
      <c r="A372" s="27"/>
      <c r="B372" s="21"/>
      <c r="C372" s="28"/>
      <c r="D372" s="28"/>
      <c r="E372" s="23" t="s">
        <v>524</v>
      </c>
      <c r="F372" s="24" t="s">
        <v>1720</v>
      </c>
      <c r="G372" s="23" t="s">
        <v>1729</v>
      </c>
      <c r="H372" s="23" t="s">
        <v>1730</v>
      </c>
      <c r="I372" s="23" t="s">
        <v>28</v>
      </c>
      <c r="J372" s="23" t="s">
        <v>1731</v>
      </c>
      <c r="K372" s="23" t="s">
        <v>1732</v>
      </c>
      <c r="L372" s="32" t="s">
        <v>15</v>
      </c>
      <c r="M372" s="25">
        <f t="shared" si="10"/>
        <v>1</v>
      </c>
      <c r="N372" s="21"/>
    </row>
    <row r="373" s="3" customFormat="1" ht="26" spans="1:14">
      <c r="A373" s="27"/>
      <c r="B373" s="21"/>
      <c r="C373" s="29"/>
      <c r="D373" s="29"/>
      <c r="E373" s="23" t="s">
        <v>524</v>
      </c>
      <c r="F373" s="24" t="s">
        <v>1720</v>
      </c>
      <c r="G373" s="23" t="s">
        <v>1733</v>
      </c>
      <c r="H373" s="23" t="s">
        <v>1734</v>
      </c>
      <c r="I373" s="23" t="s">
        <v>24</v>
      </c>
      <c r="J373" s="23" t="s">
        <v>1735</v>
      </c>
      <c r="K373" s="23" t="s">
        <v>1736</v>
      </c>
      <c r="L373" s="32" t="s">
        <v>15</v>
      </c>
      <c r="M373" s="25">
        <f t="shared" si="10"/>
        <v>1</v>
      </c>
      <c r="N373" s="21"/>
    </row>
    <row r="374" s="3" customFormat="1" ht="26" spans="1:14">
      <c r="A374" s="27"/>
      <c r="B374" s="21"/>
      <c r="C374" s="22" t="s">
        <v>1737</v>
      </c>
      <c r="D374" s="22" t="s">
        <v>1738</v>
      </c>
      <c r="E374" s="23" t="s">
        <v>524</v>
      </c>
      <c r="F374" s="24" t="s">
        <v>1739</v>
      </c>
      <c r="G374" s="23" t="s">
        <v>1740</v>
      </c>
      <c r="H374" s="23" t="s">
        <v>1741</v>
      </c>
      <c r="I374" s="23" t="s">
        <v>22</v>
      </c>
      <c r="J374" s="23" t="s">
        <v>1742</v>
      </c>
      <c r="K374" s="23" t="s">
        <v>1743</v>
      </c>
      <c r="L374" s="32" t="s">
        <v>15</v>
      </c>
      <c r="M374" s="25">
        <f t="shared" ref="M374:M378" si="11">IF(L374="新增",1,IF(L374="复用",1/3,0))</f>
        <v>1</v>
      </c>
      <c r="N374" s="21"/>
    </row>
    <row r="375" s="3" customFormat="1" ht="39" spans="1:14">
      <c r="A375" s="27"/>
      <c r="B375" s="21"/>
      <c r="C375" s="28"/>
      <c r="D375" s="28"/>
      <c r="E375" s="23" t="s">
        <v>524</v>
      </c>
      <c r="F375" s="24" t="s">
        <v>1739</v>
      </c>
      <c r="G375" s="23" t="s">
        <v>1744</v>
      </c>
      <c r="H375" s="23" t="s">
        <v>1745</v>
      </c>
      <c r="I375" s="23" t="s">
        <v>26</v>
      </c>
      <c r="J375" s="23" t="s">
        <v>1746</v>
      </c>
      <c r="K375" s="23" t="s">
        <v>1747</v>
      </c>
      <c r="L375" s="32" t="s">
        <v>15</v>
      </c>
      <c r="M375" s="25">
        <f t="shared" si="11"/>
        <v>1</v>
      </c>
      <c r="N375" s="21"/>
    </row>
    <row r="376" s="3" customFormat="1" ht="26" spans="1:14">
      <c r="A376" s="27"/>
      <c r="B376" s="21"/>
      <c r="C376" s="28"/>
      <c r="D376" s="28"/>
      <c r="E376" s="23" t="s">
        <v>524</v>
      </c>
      <c r="F376" s="24" t="s">
        <v>1739</v>
      </c>
      <c r="G376" s="23" t="s">
        <v>1748</v>
      </c>
      <c r="H376" s="23" t="s">
        <v>1749</v>
      </c>
      <c r="I376" s="23" t="s">
        <v>28</v>
      </c>
      <c r="J376" s="23" t="s">
        <v>1750</v>
      </c>
      <c r="K376" s="23" t="s">
        <v>1751</v>
      </c>
      <c r="L376" s="32" t="s">
        <v>15</v>
      </c>
      <c r="M376" s="25">
        <f t="shared" si="11"/>
        <v>1</v>
      </c>
      <c r="N376" s="21"/>
    </row>
    <row r="377" s="3" customFormat="1" ht="26" spans="1:14">
      <c r="A377" s="27"/>
      <c r="B377" s="21"/>
      <c r="C377" s="29"/>
      <c r="D377" s="29"/>
      <c r="E377" s="23" t="s">
        <v>524</v>
      </c>
      <c r="F377" s="24" t="s">
        <v>1739</v>
      </c>
      <c r="G377" s="23" t="s">
        <v>1752</v>
      </c>
      <c r="H377" s="23" t="s">
        <v>1753</v>
      </c>
      <c r="I377" s="23" t="s">
        <v>24</v>
      </c>
      <c r="J377" s="23" t="s">
        <v>1754</v>
      </c>
      <c r="K377" s="23" t="s">
        <v>1755</v>
      </c>
      <c r="L377" s="32" t="s">
        <v>15</v>
      </c>
      <c r="M377" s="25">
        <f t="shared" si="11"/>
        <v>1</v>
      </c>
      <c r="N377" s="21"/>
    </row>
    <row r="378" s="3" customFormat="1" ht="26" spans="1:14">
      <c r="A378" s="27"/>
      <c r="B378" s="21"/>
      <c r="C378" s="22" t="s">
        <v>1756</v>
      </c>
      <c r="D378" s="22" t="s">
        <v>1757</v>
      </c>
      <c r="E378" s="24" t="s">
        <v>524</v>
      </c>
      <c r="F378" s="24" t="s">
        <v>1758</v>
      </c>
      <c r="G378" s="24" t="s">
        <v>1759</v>
      </c>
      <c r="H378" s="24" t="s">
        <v>1760</v>
      </c>
      <c r="I378" s="24" t="s">
        <v>22</v>
      </c>
      <c r="J378" s="24" t="s">
        <v>1761</v>
      </c>
      <c r="K378" s="24" t="s">
        <v>1762</v>
      </c>
      <c r="L378" s="24" t="s">
        <v>15</v>
      </c>
      <c r="M378" s="25">
        <f t="shared" si="11"/>
        <v>1</v>
      </c>
      <c r="N378" s="21"/>
    </row>
    <row r="379" s="3" customFormat="1" ht="26" spans="1:14">
      <c r="A379" s="27"/>
      <c r="B379" s="21"/>
      <c r="C379" s="28"/>
      <c r="D379" s="28"/>
      <c r="E379" s="24" t="s">
        <v>524</v>
      </c>
      <c r="F379" s="24" t="s">
        <v>1758</v>
      </c>
      <c r="G379" s="24" t="s">
        <v>1763</v>
      </c>
      <c r="H379" s="24" t="s">
        <v>1764</v>
      </c>
      <c r="I379" s="24" t="s">
        <v>26</v>
      </c>
      <c r="J379" s="24" t="s">
        <v>1765</v>
      </c>
      <c r="K379" s="24" t="s">
        <v>1766</v>
      </c>
      <c r="L379" s="24" t="s">
        <v>15</v>
      </c>
      <c r="M379" s="25">
        <f t="shared" ref="M379:M414" si="12">IF(L379="新增",1,IF(L379="复用",1/3,0))</f>
        <v>1</v>
      </c>
      <c r="N379" s="21"/>
    </row>
    <row r="380" s="3" customFormat="1" ht="26" spans="1:14">
      <c r="A380" s="27"/>
      <c r="B380" s="21"/>
      <c r="C380" s="28"/>
      <c r="D380" s="28"/>
      <c r="E380" s="24" t="s">
        <v>524</v>
      </c>
      <c r="F380" s="24" t="s">
        <v>1758</v>
      </c>
      <c r="G380" s="24" t="s">
        <v>1767</v>
      </c>
      <c r="H380" s="24" t="s">
        <v>1768</v>
      </c>
      <c r="I380" s="24" t="s">
        <v>28</v>
      </c>
      <c r="J380" s="24" t="s">
        <v>1769</v>
      </c>
      <c r="K380" s="24" t="s">
        <v>1770</v>
      </c>
      <c r="L380" s="24" t="s">
        <v>15</v>
      </c>
      <c r="M380" s="25">
        <f t="shared" si="12"/>
        <v>1</v>
      </c>
      <c r="N380" s="21"/>
    </row>
    <row r="381" s="3" customFormat="1" ht="26" spans="1:14">
      <c r="A381" s="27"/>
      <c r="B381" s="21"/>
      <c r="C381" s="28"/>
      <c r="D381" s="29"/>
      <c r="E381" s="24" t="s">
        <v>524</v>
      </c>
      <c r="F381" s="24" t="s">
        <v>1758</v>
      </c>
      <c r="G381" s="24" t="s">
        <v>1771</v>
      </c>
      <c r="H381" s="24" t="s">
        <v>1772</v>
      </c>
      <c r="I381" s="24" t="s">
        <v>24</v>
      </c>
      <c r="J381" s="24" t="s">
        <v>1773</v>
      </c>
      <c r="K381" s="24" t="s">
        <v>1774</v>
      </c>
      <c r="L381" s="24" t="s">
        <v>15</v>
      </c>
      <c r="M381" s="25">
        <f t="shared" si="12"/>
        <v>1</v>
      </c>
      <c r="N381" s="21"/>
    </row>
    <row r="382" s="3" customFormat="1" ht="26" spans="1:14">
      <c r="A382" s="27"/>
      <c r="B382" s="21"/>
      <c r="C382" s="28"/>
      <c r="D382" s="22" t="s">
        <v>1775</v>
      </c>
      <c r="E382" s="24" t="s">
        <v>524</v>
      </c>
      <c r="F382" s="24" t="s">
        <v>1776</v>
      </c>
      <c r="G382" s="24" t="s">
        <v>1777</v>
      </c>
      <c r="H382" s="24" t="s">
        <v>1778</v>
      </c>
      <c r="I382" s="24" t="s">
        <v>22</v>
      </c>
      <c r="J382" s="24" t="s">
        <v>1514</v>
      </c>
      <c r="K382" s="24" t="s">
        <v>1779</v>
      </c>
      <c r="L382" s="24" t="s">
        <v>15</v>
      </c>
      <c r="M382" s="25">
        <f t="shared" si="12"/>
        <v>1</v>
      </c>
      <c r="N382" s="21"/>
    </row>
    <row r="383" s="3" customFormat="1" ht="39" spans="1:14">
      <c r="A383" s="27"/>
      <c r="B383" s="21"/>
      <c r="C383" s="28"/>
      <c r="D383" s="28"/>
      <c r="E383" s="24" t="s">
        <v>524</v>
      </c>
      <c r="F383" s="24" t="s">
        <v>1776</v>
      </c>
      <c r="G383" s="24" t="s">
        <v>1780</v>
      </c>
      <c r="H383" s="24" t="s">
        <v>1781</v>
      </c>
      <c r="I383" s="24" t="s">
        <v>26</v>
      </c>
      <c r="J383" s="24" t="s">
        <v>1518</v>
      </c>
      <c r="K383" s="24" t="s">
        <v>1782</v>
      </c>
      <c r="L383" s="24" t="s">
        <v>15</v>
      </c>
      <c r="M383" s="25">
        <f t="shared" si="12"/>
        <v>1</v>
      </c>
      <c r="N383" s="21"/>
    </row>
    <row r="384" s="3" customFormat="1" ht="26" spans="1:14">
      <c r="A384" s="27"/>
      <c r="B384" s="21"/>
      <c r="C384" s="28"/>
      <c r="D384" s="28"/>
      <c r="E384" s="24" t="s">
        <v>524</v>
      </c>
      <c r="F384" s="24" t="s">
        <v>1776</v>
      </c>
      <c r="G384" s="24" t="s">
        <v>1783</v>
      </c>
      <c r="H384" s="24" t="s">
        <v>1784</v>
      </c>
      <c r="I384" s="24" t="s">
        <v>28</v>
      </c>
      <c r="J384" s="24" t="s">
        <v>1522</v>
      </c>
      <c r="K384" s="24" t="s">
        <v>1785</v>
      </c>
      <c r="L384" s="24" t="s">
        <v>15</v>
      </c>
      <c r="M384" s="25">
        <f t="shared" si="12"/>
        <v>1</v>
      </c>
      <c r="N384" s="21"/>
    </row>
    <row r="385" s="3" customFormat="1" ht="26" spans="1:14">
      <c r="A385" s="27"/>
      <c r="B385" s="21"/>
      <c r="C385" s="28"/>
      <c r="D385" s="29"/>
      <c r="E385" s="24" t="s">
        <v>524</v>
      </c>
      <c r="F385" s="24" t="s">
        <v>1776</v>
      </c>
      <c r="G385" s="24" t="s">
        <v>1786</v>
      </c>
      <c r="H385" s="24" t="s">
        <v>1787</v>
      </c>
      <c r="I385" s="24" t="s">
        <v>24</v>
      </c>
      <c r="J385" s="24" t="s">
        <v>1526</v>
      </c>
      <c r="K385" s="24" t="s">
        <v>1788</v>
      </c>
      <c r="L385" s="24" t="s">
        <v>15</v>
      </c>
      <c r="M385" s="25">
        <f t="shared" si="12"/>
        <v>1</v>
      </c>
      <c r="N385" s="21"/>
    </row>
    <row r="386" s="3" customFormat="1" ht="26" spans="1:14">
      <c r="A386" s="27"/>
      <c r="B386" s="21"/>
      <c r="C386" s="28"/>
      <c r="D386" s="22" t="s">
        <v>1789</v>
      </c>
      <c r="E386" s="24" t="s">
        <v>524</v>
      </c>
      <c r="F386" s="24" t="s">
        <v>1790</v>
      </c>
      <c r="G386" s="24" t="s">
        <v>1791</v>
      </c>
      <c r="H386" s="24" t="s">
        <v>1792</v>
      </c>
      <c r="I386" s="24" t="s">
        <v>22</v>
      </c>
      <c r="J386" s="24" t="s">
        <v>1793</v>
      </c>
      <c r="K386" s="24" t="s">
        <v>1794</v>
      </c>
      <c r="L386" s="24" t="s">
        <v>15</v>
      </c>
      <c r="M386" s="25">
        <f t="shared" si="12"/>
        <v>1</v>
      </c>
      <c r="N386" s="21"/>
    </row>
    <row r="387" s="3" customFormat="1" ht="39" spans="1:14">
      <c r="A387" s="27"/>
      <c r="B387" s="21"/>
      <c r="C387" s="28"/>
      <c r="D387" s="28"/>
      <c r="E387" s="24" t="s">
        <v>524</v>
      </c>
      <c r="F387" s="24" t="s">
        <v>1790</v>
      </c>
      <c r="G387" s="24" t="s">
        <v>1795</v>
      </c>
      <c r="H387" s="24" t="s">
        <v>1796</v>
      </c>
      <c r="I387" s="24" t="s">
        <v>26</v>
      </c>
      <c r="J387" s="24" t="s">
        <v>1797</v>
      </c>
      <c r="K387" s="24" t="s">
        <v>1798</v>
      </c>
      <c r="L387" s="24" t="s">
        <v>15</v>
      </c>
      <c r="M387" s="25">
        <f t="shared" si="12"/>
        <v>1</v>
      </c>
      <c r="N387" s="21"/>
    </row>
    <row r="388" s="3" customFormat="1" ht="26" spans="1:14">
      <c r="A388" s="27"/>
      <c r="B388" s="21"/>
      <c r="C388" s="28"/>
      <c r="D388" s="28"/>
      <c r="E388" s="24" t="s">
        <v>524</v>
      </c>
      <c r="F388" s="24" t="s">
        <v>1790</v>
      </c>
      <c r="G388" s="24" t="s">
        <v>1799</v>
      </c>
      <c r="H388" s="24" t="s">
        <v>1800</v>
      </c>
      <c r="I388" s="24" t="s">
        <v>28</v>
      </c>
      <c r="J388" s="24" t="s">
        <v>1801</v>
      </c>
      <c r="K388" s="24" t="s">
        <v>1802</v>
      </c>
      <c r="L388" s="24" t="s">
        <v>15</v>
      </c>
      <c r="M388" s="25">
        <f t="shared" si="12"/>
        <v>1</v>
      </c>
      <c r="N388" s="21"/>
    </row>
    <row r="389" s="3" customFormat="1" ht="26" spans="1:14">
      <c r="A389" s="27"/>
      <c r="B389" s="21"/>
      <c r="C389" s="28"/>
      <c r="D389" s="29"/>
      <c r="E389" s="24" t="s">
        <v>524</v>
      </c>
      <c r="F389" s="24" t="s">
        <v>1790</v>
      </c>
      <c r="G389" s="24" t="s">
        <v>1803</v>
      </c>
      <c r="H389" s="24" t="s">
        <v>1804</v>
      </c>
      <c r="I389" s="24" t="s">
        <v>24</v>
      </c>
      <c r="J389" s="24" t="s">
        <v>1805</v>
      </c>
      <c r="K389" s="24" t="s">
        <v>1806</v>
      </c>
      <c r="L389" s="24" t="s">
        <v>15</v>
      </c>
      <c r="M389" s="25">
        <f t="shared" si="12"/>
        <v>1</v>
      </c>
      <c r="N389" s="21"/>
    </row>
    <row r="390" s="3" customFormat="1" ht="26" spans="1:14">
      <c r="A390" s="27"/>
      <c r="B390" s="21"/>
      <c r="C390" s="28"/>
      <c r="D390" s="22" t="s">
        <v>1807</v>
      </c>
      <c r="E390" s="24" t="s">
        <v>524</v>
      </c>
      <c r="F390" s="24" t="s">
        <v>1808</v>
      </c>
      <c r="G390" s="24" t="s">
        <v>1809</v>
      </c>
      <c r="H390" s="24" t="s">
        <v>1810</v>
      </c>
      <c r="I390" s="24" t="s">
        <v>22</v>
      </c>
      <c r="J390" s="24" t="s">
        <v>1811</v>
      </c>
      <c r="K390" s="24" t="s">
        <v>1812</v>
      </c>
      <c r="L390" s="24" t="s">
        <v>15</v>
      </c>
      <c r="M390" s="25">
        <f t="shared" si="12"/>
        <v>1</v>
      </c>
      <c r="N390" s="21"/>
    </row>
    <row r="391" s="3" customFormat="1" ht="26" spans="1:14">
      <c r="A391" s="27"/>
      <c r="B391" s="21"/>
      <c r="C391" s="28"/>
      <c r="D391" s="28"/>
      <c r="E391" s="24" t="s">
        <v>524</v>
      </c>
      <c r="F391" s="24" t="s">
        <v>1808</v>
      </c>
      <c r="G391" s="24" t="s">
        <v>1813</v>
      </c>
      <c r="H391" s="24" t="s">
        <v>1814</v>
      </c>
      <c r="I391" s="24" t="s">
        <v>26</v>
      </c>
      <c r="J391" s="24" t="s">
        <v>1815</v>
      </c>
      <c r="K391" s="24" t="s">
        <v>1816</v>
      </c>
      <c r="L391" s="24" t="s">
        <v>15</v>
      </c>
      <c r="M391" s="25">
        <f t="shared" si="12"/>
        <v>1</v>
      </c>
      <c r="N391" s="21"/>
    </row>
    <row r="392" s="3" customFormat="1" ht="26" spans="1:14">
      <c r="A392" s="27"/>
      <c r="B392" s="21"/>
      <c r="C392" s="28"/>
      <c r="D392" s="28"/>
      <c r="E392" s="24" t="s">
        <v>524</v>
      </c>
      <c r="F392" s="24" t="s">
        <v>1808</v>
      </c>
      <c r="G392" s="24" t="s">
        <v>1817</v>
      </c>
      <c r="H392" s="24" t="s">
        <v>1818</v>
      </c>
      <c r="I392" s="24" t="s">
        <v>28</v>
      </c>
      <c r="J392" s="24" t="s">
        <v>1819</v>
      </c>
      <c r="K392" s="24" t="s">
        <v>1820</v>
      </c>
      <c r="L392" s="24" t="s">
        <v>15</v>
      </c>
      <c r="M392" s="25">
        <f t="shared" si="12"/>
        <v>1</v>
      </c>
      <c r="N392" s="21"/>
    </row>
    <row r="393" s="3" customFormat="1" ht="26" spans="1:14">
      <c r="A393" s="27"/>
      <c r="B393" s="21"/>
      <c r="C393" s="29"/>
      <c r="D393" s="29"/>
      <c r="E393" s="24" t="s">
        <v>524</v>
      </c>
      <c r="F393" s="24" t="s">
        <v>1808</v>
      </c>
      <c r="G393" s="24" t="s">
        <v>1821</v>
      </c>
      <c r="H393" s="24" t="s">
        <v>1822</v>
      </c>
      <c r="I393" s="24" t="s">
        <v>24</v>
      </c>
      <c r="J393" s="24" t="s">
        <v>1823</v>
      </c>
      <c r="K393" s="24" t="s">
        <v>1824</v>
      </c>
      <c r="L393" s="24" t="s">
        <v>15</v>
      </c>
      <c r="M393" s="25">
        <f t="shared" si="12"/>
        <v>1</v>
      </c>
      <c r="N393" s="21"/>
    </row>
    <row r="394" s="3" customFormat="1" ht="26" spans="1:14">
      <c r="A394" s="27"/>
      <c r="B394" s="21"/>
      <c r="C394" s="22" t="s">
        <v>1825</v>
      </c>
      <c r="D394" s="24" t="s">
        <v>1826</v>
      </c>
      <c r="E394" s="24" t="s">
        <v>524</v>
      </c>
      <c r="F394" s="24" t="s">
        <v>1827</v>
      </c>
      <c r="G394" s="24" t="s">
        <v>1828</v>
      </c>
      <c r="H394" s="24" t="s">
        <v>1829</v>
      </c>
      <c r="I394" s="24" t="s">
        <v>22</v>
      </c>
      <c r="J394" s="24" t="s">
        <v>1830</v>
      </c>
      <c r="K394" s="24" t="s">
        <v>1831</v>
      </c>
      <c r="L394" s="24" t="s">
        <v>15</v>
      </c>
      <c r="M394" s="25">
        <f t="shared" si="12"/>
        <v>1</v>
      </c>
      <c r="N394" s="21"/>
    </row>
    <row r="395" s="3" customFormat="1" ht="39" spans="1:14">
      <c r="A395" s="27"/>
      <c r="B395" s="21"/>
      <c r="C395" s="28"/>
      <c r="D395" s="24" t="s">
        <v>1826</v>
      </c>
      <c r="E395" s="24" t="s">
        <v>524</v>
      </c>
      <c r="F395" s="24" t="s">
        <v>1827</v>
      </c>
      <c r="G395" s="24" t="s">
        <v>1832</v>
      </c>
      <c r="H395" s="24" t="s">
        <v>1833</v>
      </c>
      <c r="I395" s="24" t="s">
        <v>26</v>
      </c>
      <c r="J395" s="24" t="s">
        <v>1834</v>
      </c>
      <c r="K395" s="24" t="s">
        <v>1835</v>
      </c>
      <c r="L395" s="24" t="s">
        <v>15</v>
      </c>
      <c r="M395" s="25">
        <f t="shared" si="12"/>
        <v>1</v>
      </c>
      <c r="N395" s="21"/>
    </row>
    <row r="396" s="3" customFormat="1" ht="26" spans="1:14">
      <c r="A396" s="27"/>
      <c r="B396" s="21"/>
      <c r="C396" s="28"/>
      <c r="D396" s="24" t="s">
        <v>1826</v>
      </c>
      <c r="E396" s="24" t="s">
        <v>524</v>
      </c>
      <c r="F396" s="24" t="s">
        <v>1827</v>
      </c>
      <c r="G396" s="24" t="s">
        <v>1836</v>
      </c>
      <c r="H396" s="24" t="s">
        <v>1837</v>
      </c>
      <c r="I396" s="24" t="s">
        <v>28</v>
      </c>
      <c r="J396" s="24" t="s">
        <v>1838</v>
      </c>
      <c r="K396" s="24" t="s">
        <v>1839</v>
      </c>
      <c r="L396" s="24" t="s">
        <v>15</v>
      </c>
      <c r="M396" s="25">
        <f t="shared" si="12"/>
        <v>1</v>
      </c>
      <c r="N396" s="21"/>
    </row>
    <row r="397" s="3" customFormat="1" ht="26" spans="1:14">
      <c r="A397" s="27"/>
      <c r="B397" s="21"/>
      <c r="C397" s="28"/>
      <c r="D397" s="24" t="s">
        <v>1826</v>
      </c>
      <c r="E397" s="24" t="s">
        <v>524</v>
      </c>
      <c r="F397" s="24" t="s">
        <v>1827</v>
      </c>
      <c r="G397" s="24" t="s">
        <v>1840</v>
      </c>
      <c r="H397" s="24" t="s">
        <v>1841</v>
      </c>
      <c r="I397" s="24" t="s">
        <v>24</v>
      </c>
      <c r="J397" s="24" t="s">
        <v>1842</v>
      </c>
      <c r="K397" s="24" t="s">
        <v>1843</v>
      </c>
      <c r="L397" s="24" t="s">
        <v>15</v>
      </c>
      <c r="M397" s="25">
        <f t="shared" si="12"/>
        <v>1</v>
      </c>
      <c r="N397" s="21"/>
    </row>
    <row r="398" s="3" customFormat="1" ht="26" spans="1:14">
      <c r="A398" s="27"/>
      <c r="B398" s="21"/>
      <c r="C398" s="28"/>
      <c r="D398" s="22" t="s">
        <v>1844</v>
      </c>
      <c r="E398" s="23" t="s">
        <v>524</v>
      </c>
      <c r="F398" s="24" t="s">
        <v>1845</v>
      </c>
      <c r="G398" s="23" t="s">
        <v>1846</v>
      </c>
      <c r="H398" s="23" t="s">
        <v>1847</v>
      </c>
      <c r="I398" s="23" t="s">
        <v>22</v>
      </c>
      <c r="J398" s="23" t="s">
        <v>1848</v>
      </c>
      <c r="K398" s="23" t="s">
        <v>1849</v>
      </c>
      <c r="L398" s="24" t="s">
        <v>15</v>
      </c>
      <c r="M398" s="25">
        <f t="shared" si="12"/>
        <v>1</v>
      </c>
      <c r="N398" s="21"/>
    </row>
    <row r="399" s="3" customFormat="1" ht="39" spans="1:14">
      <c r="A399" s="27"/>
      <c r="B399" s="21"/>
      <c r="C399" s="28"/>
      <c r="D399" s="28"/>
      <c r="E399" s="23" t="s">
        <v>524</v>
      </c>
      <c r="F399" s="24" t="s">
        <v>1845</v>
      </c>
      <c r="G399" s="23" t="s">
        <v>1850</v>
      </c>
      <c r="H399" s="23" t="s">
        <v>1851</v>
      </c>
      <c r="I399" s="23" t="s">
        <v>26</v>
      </c>
      <c r="J399" s="23" t="s">
        <v>1852</v>
      </c>
      <c r="K399" s="23" t="s">
        <v>1853</v>
      </c>
      <c r="L399" s="24" t="s">
        <v>15</v>
      </c>
      <c r="M399" s="25">
        <f t="shared" si="12"/>
        <v>1</v>
      </c>
      <c r="N399" s="21"/>
    </row>
    <row r="400" s="3" customFormat="1" ht="26" spans="1:14">
      <c r="A400" s="27"/>
      <c r="B400" s="21"/>
      <c r="C400" s="28"/>
      <c r="D400" s="28"/>
      <c r="E400" s="23" t="s">
        <v>524</v>
      </c>
      <c r="F400" s="24" t="s">
        <v>1845</v>
      </c>
      <c r="G400" s="23" t="s">
        <v>1854</v>
      </c>
      <c r="H400" s="23" t="s">
        <v>1855</v>
      </c>
      <c r="I400" s="23" t="s">
        <v>28</v>
      </c>
      <c r="J400" s="23" t="s">
        <v>1856</v>
      </c>
      <c r="K400" s="23" t="s">
        <v>1857</v>
      </c>
      <c r="L400" s="24" t="s">
        <v>15</v>
      </c>
      <c r="M400" s="25">
        <f t="shared" si="12"/>
        <v>1</v>
      </c>
      <c r="N400" s="21"/>
    </row>
    <row r="401" s="3" customFormat="1" ht="26" spans="1:14">
      <c r="A401" s="27"/>
      <c r="B401" s="21"/>
      <c r="C401" s="28"/>
      <c r="D401" s="29"/>
      <c r="E401" s="23" t="s">
        <v>524</v>
      </c>
      <c r="F401" s="24" t="s">
        <v>1845</v>
      </c>
      <c r="G401" s="23" t="s">
        <v>1858</v>
      </c>
      <c r="H401" s="23" t="s">
        <v>1859</v>
      </c>
      <c r="I401" s="23" t="s">
        <v>24</v>
      </c>
      <c r="J401" s="23" t="s">
        <v>1860</v>
      </c>
      <c r="K401" s="23" t="s">
        <v>1861</v>
      </c>
      <c r="L401" s="24" t="s">
        <v>15</v>
      </c>
      <c r="M401" s="25">
        <f t="shared" si="12"/>
        <v>1</v>
      </c>
      <c r="N401" s="21"/>
    </row>
    <row r="402" s="3" customFormat="1" ht="26" spans="1:14">
      <c r="A402" s="27"/>
      <c r="B402" s="21"/>
      <c r="C402" s="28"/>
      <c r="D402" s="22" t="s">
        <v>1862</v>
      </c>
      <c r="E402" s="23" t="s">
        <v>524</v>
      </c>
      <c r="F402" s="24" t="s">
        <v>1863</v>
      </c>
      <c r="G402" s="23" t="s">
        <v>1864</v>
      </c>
      <c r="H402" s="23" t="s">
        <v>1865</v>
      </c>
      <c r="I402" s="23" t="s">
        <v>22</v>
      </c>
      <c r="J402" s="23" t="s">
        <v>1866</v>
      </c>
      <c r="K402" s="23" t="s">
        <v>1867</v>
      </c>
      <c r="L402" s="24" t="s">
        <v>15</v>
      </c>
      <c r="M402" s="25">
        <f t="shared" si="12"/>
        <v>1</v>
      </c>
      <c r="N402" s="21"/>
    </row>
    <row r="403" s="3" customFormat="1" ht="39" spans="1:14">
      <c r="A403" s="27"/>
      <c r="B403" s="21"/>
      <c r="C403" s="28"/>
      <c r="D403" s="28"/>
      <c r="E403" s="23" t="s">
        <v>524</v>
      </c>
      <c r="F403" s="24" t="s">
        <v>1863</v>
      </c>
      <c r="G403" s="23" t="s">
        <v>1868</v>
      </c>
      <c r="H403" s="23" t="s">
        <v>1869</v>
      </c>
      <c r="I403" s="23" t="s">
        <v>26</v>
      </c>
      <c r="J403" s="23" t="s">
        <v>1870</v>
      </c>
      <c r="K403" s="23" t="s">
        <v>1871</v>
      </c>
      <c r="L403" s="24" t="s">
        <v>15</v>
      </c>
      <c r="M403" s="25">
        <f t="shared" si="12"/>
        <v>1</v>
      </c>
      <c r="N403" s="21"/>
    </row>
    <row r="404" s="3" customFormat="1" ht="26" spans="1:14">
      <c r="A404" s="27"/>
      <c r="B404" s="21"/>
      <c r="C404" s="28"/>
      <c r="D404" s="28"/>
      <c r="E404" s="23" t="s">
        <v>524</v>
      </c>
      <c r="F404" s="24" t="s">
        <v>1863</v>
      </c>
      <c r="G404" s="23" t="s">
        <v>1872</v>
      </c>
      <c r="H404" s="23" t="s">
        <v>1873</v>
      </c>
      <c r="I404" s="23" t="s">
        <v>28</v>
      </c>
      <c r="J404" s="23" t="s">
        <v>1874</v>
      </c>
      <c r="K404" s="23" t="s">
        <v>1875</v>
      </c>
      <c r="L404" s="24" t="s">
        <v>15</v>
      </c>
      <c r="M404" s="25">
        <f t="shared" si="12"/>
        <v>1</v>
      </c>
      <c r="N404" s="21"/>
    </row>
    <row r="405" s="3" customFormat="1" ht="26" spans="1:14">
      <c r="A405" s="27"/>
      <c r="B405" s="21"/>
      <c r="C405" s="28"/>
      <c r="D405" s="29"/>
      <c r="E405" s="23" t="s">
        <v>524</v>
      </c>
      <c r="F405" s="24" t="s">
        <v>1863</v>
      </c>
      <c r="G405" s="23" t="s">
        <v>1876</v>
      </c>
      <c r="H405" s="23" t="s">
        <v>1877</v>
      </c>
      <c r="I405" s="23" t="s">
        <v>24</v>
      </c>
      <c r="J405" s="23" t="s">
        <v>1878</v>
      </c>
      <c r="K405" s="23" t="s">
        <v>1879</v>
      </c>
      <c r="L405" s="24" t="s">
        <v>15</v>
      </c>
      <c r="M405" s="25">
        <f t="shared" si="12"/>
        <v>1</v>
      </c>
      <c r="N405" s="21"/>
    </row>
    <row r="406" s="3" customFormat="1" ht="26" spans="1:14">
      <c r="A406" s="27"/>
      <c r="B406" s="21"/>
      <c r="C406" s="28"/>
      <c r="D406" s="22" t="s">
        <v>1880</v>
      </c>
      <c r="E406" s="23" t="s">
        <v>524</v>
      </c>
      <c r="F406" s="24" t="s">
        <v>1881</v>
      </c>
      <c r="G406" s="23" t="s">
        <v>1882</v>
      </c>
      <c r="H406" s="23" t="s">
        <v>1883</v>
      </c>
      <c r="I406" s="23" t="s">
        <v>22</v>
      </c>
      <c r="J406" s="23" t="s">
        <v>1884</v>
      </c>
      <c r="K406" s="23" t="s">
        <v>1885</v>
      </c>
      <c r="L406" s="24" t="s">
        <v>15</v>
      </c>
      <c r="M406" s="25">
        <f t="shared" si="12"/>
        <v>1</v>
      </c>
      <c r="N406" s="21"/>
    </row>
    <row r="407" s="3" customFormat="1" ht="39" spans="1:14">
      <c r="A407" s="27"/>
      <c r="B407" s="21"/>
      <c r="C407" s="28"/>
      <c r="D407" s="28"/>
      <c r="E407" s="23" t="s">
        <v>524</v>
      </c>
      <c r="F407" s="24" t="s">
        <v>1881</v>
      </c>
      <c r="G407" s="23" t="s">
        <v>1886</v>
      </c>
      <c r="H407" s="23" t="s">
        <v>1887</v>
      </c>
      <c r="I407" s="23" t="s">
        <v>26</v>
      </c>
      <c r="J407" s="23" t="s">
        <v>1888</v>
      </c>
      <c r="K407" s="23" t="s">
        <v>1889</v>
      </c>
      <c r="L407" s="24" t="s">
        <v>15</v>
      </c>
      <c r="M407" s="25">
        <f t="shared" si="12"/>
        <v>1</v>
      </c>
      <c r="N407" s="21"/>
    </row>
    <row r="408" s="3" customFormat="1" ht="26" spans="1:14">
      <c r="A408" s="27"/>
      <c r="B408" s="21"/>
      <c r="C408" s="28"/>
      <c r="D408" s="28"/>
      <c r="E408" s="23" t="s">
        <v>524</v>
      </c>
      <c r="F408" s="24" t="s">
        <v>1881</v>
      </c>
      <c r="G408" s="23" t="s">
        <v>1890</v>
      </c>
      <c r="H408" s="23" t="s">
        <v>1891</v>
      </c>
      <c r="I408" s="23" t="s">
        <v>28</v>
      </c>
      <c r="J408" s="23" t="s">
        <v>1892</v>
      </c>
      <c r="K408" s="23" t="s">
        <v>1893</v>
      </c>
      <c r="L408" s="24" t="s">
        <v>15</v>
      </c>
      <c r="M408" s="25">
        <f t="shared" si="12"/>
        <v>1</v>
      </c>
      <c r="N408" s="21"/>
    </row>
    <row r="409" s="3" customFormat="1" ht="26" spans="1:14">
      <c r="A409" s="27"/>
      <c r="B409" s="21"/>
      <c r="C409" s="28"/>
      <c r="D409" s="29"/>
      <c r="E409" s="23" t="s">
        <v>524</v>
      </c>
      <c r="F409" s="24" t="s">
        <v>1881</v>
      </c>
      <c r="G409" s="23" t="s">
        <v>1894</v>
      </c>
      <c r="H409" s="23" t="s">
        <v>1895</v>
      </c>
      <c r="I409" s="23" t="s">
        <v>24</v>
      </c>
      <c r="J409" s="23" t="s">
        <v>1896</v>
      </c>
      <c r="K409" s="23" t="s">
        <v>1897</v>
      </c>
      <c r="L409" s="24" t="s">
        <v>15</v>
      </c>
      <c r="M409" s="25">
        <f t="shared" si="12"/>
        <v>1</v>
      </c>
      <c r="N409" s="21"/>
    </row>
    <row r="410" s="3" customFormat="1" ht="26" spans="1:14">
      <c r="A410" s="27"/>
      <c r="B410" s="21"/>
      <c r="C410" s="28"/>
      <c r="D410" s="22" t="s">
        <v>1898</v>
      </c>
      <c r="E410" s="23" t="s">
        <v>524</v>
      </c>
      <c r="F410" s="24" t="s">
        <v>1899</v>
      </c>
      <c r="G410" s="23" t="s">
        <v>1900</v>
      </c>
      <c r="H410" s="23" t="s">
        <v>1901</v>
      </c>
      <c r="I410" s="23" t="s">
        <v>22</v>
      </c>
      <c r="J410" s="23" t="s">
        <v>1902</v>
      </c>
      <c r="K410" s="23" t="s">
        <v>1903</v>
      </c>
      <c r="L410" s="24" t="s">
        <v>15</v>
      </c>
      <c r="M410" s="25">
        <f t="shared" si="12"/>
        <v>1</v>
      </c>
      <c r="N410" s="21"/>
    </row>
    <row r="411" s="3" customFormat="1" ht="39" spans="1:14">
      <c r="A411" s="27"/>
      <c r="B411" s="21"/>
      <c r="C411" s="28"/>
      <c r="D411" s="28"/>
      <c r="E411" s="23" t="s">
        <v>524</v>
      </c>
      <c r="F411" s="24" t="s">
        <v>1899</v>
      </c>
      <c r="G411" s="23" t="s">
        <v>1904</v>
      </c>
      <c r="H411" s="23" t="s">
        <v>1905</v>
      </c>
      <c r="I411" s="23" t="s">
        <v>26</v>
      </c>
      <c r="J411" s="23" t="s">
        <v>1906</v>
      </c>
      <c r="K411" s="23" t="s">
        <v>1907</v>
      </c>
      <c r="L411" s="24" t="s">
        <v>15</v>
      </c>
      <c r="M411" s="25">
        <f t="shared" si="12"/>
        <v>1</v>
      </c>
      <c r="N411" s="21"/>
    </row>
    <row r="412" s="3" customFormat="1" ht="26" spans="1:14">
      <c r="A412" s="27"/>
      <c r="B412" s="21"/>
      <c r="C412" s="28"/>
      <c r="D412" s="28"/>
      <c r="E412" s="23" t="s">
        <v>524</v>
      </c>
      <c r="F412" s="24" t="s">
        <v>1899</v>
      </c>
      <c r="G412" s="23" t="s">
        <v>1908</v>
      </c>
      <c r="H412" s="23" t="s">
        <v>1909</v>
      </c>
      <c r="I412" s="23" t="s">
        <v>28</v>
      </c>
      <c r="J412" s="23" t="s">
        <v>1910</v>
      </c>
      <c r="K412" s="23" t="s">
        <v>1911</v>
      </c>
      <c r="L412" s="24" t="s">
        <v>15</v>
      </c>
      <c r="M412" s="25">
        <f t="shared" si="12"/>
        <v>1</v>
      </c>
      <c r="N412" s="21"/>
    </row>
    <row r="413" s="3" customFormat="1" ht="26" spans="1:14">
      <c r="A413" s="27"/>
      <c r="B413" s="21"/>
      <c r="C413" s="28"/>
      <c r="D413" s="29"/>
      <c r="E413" s="23" t="s">
        <v>524</v>
      </c>
      <c r="F413" s="24" t="s">
        <v>1899</v>
      </c>
      <c r="G413" s="23" t="s">
        <v>1912</v>
      </c>
      <c r="H413" s="23" t="s">
        <v>1913</v>
      </c>
      <c r="I413" s="23" t="s">
        <v>24</v>
      </c>
      <c r="J413" s="23" t="s">
        <v>1914</v>
      </c>
      <c r="K413" s="23" t="s">
        <v>1915</v>
      </c>
      <c r="L413" s="24" t="s">
        <v>15</v>
      </c>
      <c r="M413" s="25">
        <f t="shared" si="12"/>
        <v>1</v>
      </c>
      <c r="N413" s="21"/>
    </row>
    <row r="414" s="3" customFormat="1" ht="39" spans="1:14">
      <c r="A414" s="27"/>
      <c r="B414" s="21"/>
      <c r="C414" s="28"/>
      <c r="D414" s="22" t="s">
        <v>1916</v>
      </c>
      <c r="E414" s="23" t="s">
        <v>524</v>
      </c>
      <c r="F414" s="24" t="s">
        <v>1917</v>
      </c>
      <c r="G414" s="23" t="s">
        <v>1918</v>
      </c>
      <c r="H414" s="23" t="s">
        <v>1919</v>
      </c>
      <c r="I414" s="23" t="s">
        <v>22</v>
      </c>
      <c r="J414" s="23" t="s">
        <v>1920</v>
      </c>
      <c r="K414" s="23" t="s">
        <v>1921</v>
      </c>
      <c r="L414" s="24" t="s">
        <v>15</v>
      </c>
      <c r="M414" s="25">
        <f t="shared" si="12"/>
        <v>1</v>
      </c>
      <c r="N414" s="21"/>
    </row>
    <row r="415" s="3" customFormat="1" ht="26" spans="1:14">
      <c r="A415" s="27"/>
      <c r="B415" s="21"/>
      <c r="C415" s="28"/>
      <c r="D415" s="28"/>
      <c r="E415" s="23" t="s">
        <v>524</v>
      </c>
      <c r="F415" s="24" t="s">
        <v>1917</v>
      </c>
      <c r="G415" s="23" t="s">
        <v>1922</v>
      </c>
      <c r="H415" s="23" t="s">
        <v>1923</v>
      </c>
      <c r="I415" s="23" t="s">
        <v>26</v>
      </c>
      <c r="J415" s="23" t="s">
        <v>1924</v>
      </c>
      <c r="K415" s="23" t="s">
        <v>1925</v>
      </c>
      <c r="L415" s="24" t="s">
        <v>15</v>
      </c>
      <c r="M415" s="25">
        <f t="shared" ref="M415:M420" si="13">IF(L415="新增",1,IF(L415="复用",1/3,0))</f>
        <v>1</v>
      </c>
      <c r="N415" s="21"/>
    </row>
    <row r="416" s="3" customFormat="1" ht="39" spans="1:14">
      <c r="A416" s="27"/>
      <c r="B416" s="21"/>
      <c r="C416" s="28"/>
      <c r="D416" s="28"/>
      <c r="E416" s="23" t="s">
        <v>524</v>
      </c>
      <c r="F416" s="24" t="s">
        <v>1917</v>
      </c>
      <c r="G416" s="23" t="s">
        <v>1926</v>
      </c>
      <c r="H416" s="23" t="s">
        <v>1927</v>
      </c>
      <c r="I416" s="23" t="s">
        <v>28</v>
      </c>
      <c r="J416" s="23" t="s">
        <v>1928</v>
      </c>
      <c r="K416" s="23" t="s">
        <v>1929</v>
      </c>
      <c r="L416" s="24" t="s">
        <v>15</v>
      </c>
      <c r="M416" s="25">
        <f t="shared" si="13"/>
        <v>1</v>
      </c>
      <c r="N416" s="21"/>
    </row>
    <row r="417" s="3" customFormat="1" ht="39" spans="1:14">
      <c r="A417" s="27"/>
      <c r="B417" s="21"/>
      <c r="C417" s="28"/>
      <c r="D417" s="29"/>
      <c r="E417" s="23" t="s">
        <v>524</v>
      </c>
      <c r="F417" s="24" t="s">
        <v>1917</v>
      </c>
      <c r="G417" s="23" t="s">
        <v>1930</v>
      </c>
      <c r="H417" s="23" t="s">
        <v>1931</v>
      </c>
      <c r="I417" s="23" t="s">
        <v>24</v>
      </c>
      <c r="J417" s="23" t="s">
        <v>1932</v>
      </c>
      <c r="K417" s="23" t="s">
        <v>1933</v>
      </c>
      <c r="L417" s="24" t="s">
        <v>15</v>
      </c>
      <c r="M417" s="25">
        <f t="shared" si="13"/>
        <v>1</v>
      </c>
      <c r="N417" s="21"/>
    </row>
    <row r="418" s="3" customFormat="1" ht="39" spans="1:14">
      <c r="A418" s="27"/>
      <c r="B418" s="21"/>
      <c r="C418" s="28"/>
      <c r="D418" s="22" t="s">
        <v>1934</v>
      </c>
      <c r="E418" s="23" t="s">
        <v>524</v>
      </c>
      <c r="F418" s="24" t="s">
        <v>1935</v>
      </c>
      <c r="G418" s="23" t="s">
        <v>1936</v>
      </c>
      <c r="H418" s="23" t="s">
        <v>1919</v>
      </c>
      <c r="I418" s="23" t="s">
        <v>22</v>
      </c>
      <c r="J418" s="23" t="s">
        <v>1937</v>
      </c>
      <c r="K418" s="23" t="s">
        <v>1938</v>
      </c>
      <c r="L418" s="24" t="s">
        <v>15</v>
      </c>
      <c r="M418" s="25">
        <f t="shared" si="13"/>
        <v>1</v>
      </c>
      <c r="N418" s="21"/>
    </row>
    <row r="419" s="3" customFormat="1" ht="26" spans="1:14">
      <c r="A419" s="27"/>
      <c r="B419" s="21"/>
      <c r="C419" s="28"/>
      <c r="D419" s="28"/>
      <c r="E419" s="23" t="s">
        <v>524</v>
      </c>
      <c r="F419" s="24" t="s">
        <v>1935</v>
      </c>
      <c r="G419" s="23" t="s">
        <v>1939</v>
      </c>
      <c r="H419" s="23" t="s">
        <v>1940</v>
      </c>
      <c r="I419" s="23" t="s">
        <v>26</v>
      </c>
      <c r="J419" s="23" t="s">
        <v>1941</v>
      </c>
      <c r="K419" s="23" t="s">
        <v>1942</v>
      </c>
      <c r="L419" s="24" t="s">
        <v>15</v>
      </c>
      <c r="M419" s="25">
        <f t="shared" si="13"/>
        <v>1</v>
      </c>
      <c r="N419" s="21"/>
    </row>
    <row r="420" s="3" customFormat="1" ht="39" spans="1:14">
      <c r="A420" s="27"/>
      <c r="B420" s="21"/>
      <c r="C420" s="28"/>
      <c r="D420" s="28"/>
      <c r="E420" s="23" t="s">
        <v>524</v>
      </c>
      <c r="F420" s="24" t="s">
        <v>1935</v>
      </c>
      <c r="G420" s="23" t="s">
        <v>1943</v>
      </c>
      <c r="H420" s="23" t="s">
        <v>1944</v>
      </c>
      <c r="I420" s="23" t="s">
        <v>28</v>
      </c>
      <c r="J420" s="23" t="s">
        <v>1945</v>
      </c>
      <c r="K420" s="23" t="s">
        <v>1946</v>
      </c>
      <c r="L420" s="24" t="s">
        <v>15</v>
      </c>
      <c r="M420" s="25">
        <f t="shared" si="13"/>
        <v>1</v>
      </c>
      <c r="N420" s="21"/>
    </row>
    <row r="421" s="3" customFormat="1" ht="39" spans="1:14">
      <c r="A421" s="27"/>
      <c r="B421" s="21"/>
      <c r="C421" s="29"/>
      <c r="D421" s="29"/>
      <c r="E421" s="23" t="s">
        <v>524</v>
      </c>
      <c r="F421" s="24" t="s">
        <v>1935</v>
      </c>
      <c r="G421" s="23" t="s">
        <v>1947</v>
      </c>
      <c r="H421" s="23" t="s">
        <v>1948</v>
      </c>
      <c r="I421" s="23" t="s">
        <v>24</v>
      </c>
      <c r="J421" s="23" t="s">
        <v>1949</v>
      </c>
      <c r="K421" s="23" t="s">
        <v>1950</v>
      </c>
      <c r="L421" s="24" t="s">
        <v>15</v>
      </c>
      <c r="M421" s="25">
        <f t="shared" ref="M421" si="14">IF(L421="新增",1,IF(L421="复用",1/3,0))</f>
        <v>1</v>
      </c>
      <c r="N421" s="21"/>
    </row>
    <row r="422" s="3" customFormat="1" ht="39" spans="1:14">
      <c r="A422" s="27"/>
      <c r="B422" s="21"/>
      <c r="C422" s="22" t="s">
        <v>1951</v>
      </c>
      <c r="D422" s="24" t="s">
        <v>1952</v>
      </c>
      <c r="E422" s="24" t="s">
        <v>524</v>
      </c>
      <c r="F422" s="24" t="s">
        <v>1953</v>
      </c>
      <c r="G422" s="24" t="s">
        <v>1954</v>
      </c>
      <c r="H422" s="24" t="s">
        <v>1955</v>
      </c>
      <c r="I422" s="24" t="s">
        <v>22</v>
      </c>
      <c r="J422" s="24" t="s">
        <v>489</v>
      </c>
      <c r="K422" s="24" t="s">
        <v>1956</v>
      </c>
      <c r="L422" s="24" t="s">
        <v>15</v>
      </c>
      <c r="M422" s="25">
        <f t="shared" ref="M422:M429" si="15">IF(L422="新增",1,IF(L422="复用",1/3,0))</f>
        <v>1</v>
      </c>
      <c r="N422" s="21"/>
    </row>
    <row r="423" s="3" customFormat="1" ht="39" spans="1:14">
      <c r="A423" s="27"/>
      <c r="B423" s="21"/>
      <c r="C423" s="28"/>
      <c r="D423" s="24" t="s">
        <v>1952</v>
      </c>
      <c r="E423" s="24" t="s">
        <v>524</v>
      </c>
      <c r="F423" s="24" t="s">
        <v>1953</v>
      </c>
      <c r="G423" s="24" t="s">
        <v>1957</v>
      </c>
      <c r="H423" s="24" t="s">
        <v>1958</v>
      </c>
      <c r="I423" s="24" t="s">
        <v>26</v>
      </c>
      <c r="J423" s="24" t="s">
        <v>493</v>
      </c>
      <c r="K423" s="24" t="s">
        <v>1959</v>
      </c>
      <c r="L423" s="24" t="s">
        <v>15</v>
      </c>
      <c r="M423" s="25">
        <f t="shared" si="15"/>
        <v>1</v>
      </c>
      <c r="N423" s="21"/>
    </row>
    <row r="424" s="3" customFormat="1" ht="39" spans="1:14">
      <c r="A424" s="27"/>
      <c r="B424" s="21"/>
      <c r="C424" s="28"/>
      <c r="D424" s="24" t="s">
        <v>1952</v>
      </c>
      <c r="E424" s="24" t="s">
        <v>524</v>
      </c>
      <c r="F424" s="24" t="s">
        <v>1953</v>
      </c>
      <c r="G424" s="24" t="s">
        <v>1960</v>
      </c>
      <c r="H424" s="24" t="s">
        <v>1961</v>
      </c>
      <c r="I424" s="24" t="s">
        <v>28</v>
      </c>
      <c r="J424" s="24" t="s">
        <v>497</v>
      </c>
      <c r="K424" s="24" t="s">
        <v>1962</v>
      </c>
      <c r="L424" s="24" t="s">
        <v>15</v>
      </c>
      <c r="M424" s="25">
        <f t="shared" si="15"/>
        <v>1</v>
      </c>
      <c r="N424" s="21"/>
    </row>
    <row r="425" s="3" customFormat="1" ht="39" spans="1:14">
      <c r="A425" s="27"/>
      <c r="B425" s="21"/>
      <c r="C425" s="29"/>
      <c r="D425" s="24" t="s">
        <v>1952</v>
      </c>
      <c r="E425" s="24" t="s">
        <v>524</v>
      </c>
      <c r="F425" s="24" t="s">
        <v>1953</v>
      </c>
      <c r="G425" s="24" t="s">
        <v>1963</v>
      </c>
      <c r="H425" s="24" t="s">
        <v>1964</v>
      </c>
      <c r="I425" s="24" t="s">
        <v>24</v>
      </c>
      <c r="J425" s="24" t="s">
        <v>501</v>
      </c>
      <c r="K425" s="24" t="s">
        <v>1965</v>
      </c>
      <c r="L425" s="24" t="s">
        <v>15</v>
      </c>
      <c r="M425" s="25">
        <f t="shared" si="15"/>
        <v>1</v>
      </c>
      <c r="N425" s="21"/>
    </row>
    <row r="426" s="3" customFormat="1" ht="39" spans="1:14">
      <c r="A426" s="27"/>
      <c r="B426" s="21"/>
      <c r="C426" s="22" t="s">
        <v>1966</v>
      </c>
      <c r="D426" s="24" t="s">
        <v>1967</v>
      </c>
      <c r="E426" s="24" t="s">
        <v>932</v>
      </c>
      <c r="F426" s="24" t="s">
        <v>1968</v>
      </c>
      <c r="G426" s="24" t="s">
        <v>1969</v>
      </c>
      <c r="H426" s="24" t="s">
        <v>1970</v>
      </c>
      <c r="I426" s="24" t="s">
        <v>22</v>
      </c>
      <c r="J426" s="24" t="s">
        <v>1971</v>
      </c>
      <c r="K426" s="24" t="s">
        <v>1972</v>
      </c>
      <c r="L426" s="24" t="s">
        <v>15</v>
      </c>
      <c r="M426" s="25">
        <f t="shared" si="15"/>
        <v>1</v>
      </c>
      <c r="N426" s="21"/>
    </row>
    <row r="427" s="3" customFormat="1" ht="39" spans="1:14">
      <c r="A427" s="27"/>
      <c r="B427" s="21"/>
      <c r="C427" s="28"/>
      <c r="D427" s="24" t="s">
        <v>1967</v>
      </c>
      <c r="E427" s="24" t="s">
        <v>932</v>
      </c>
      <c r="F427" s="24" t="s">
        <v>1968</v>
      </c>
      <c r="G427" s="24" t="s">
        <v>1973</v>
      </c>
      <c r="H427" s="24" t="s">
        <v>1974</v>
      </c>
      <c r="I427" s="24" t="s">
        <v>26</v>
      </c>
      <c r="J427" s="24" t="s">
        <v>1975</v>
      </c>
      <c r="K427" s="24" t="s">
        <v>1976</v>
      </c>
      <c r="L427" s="24" t="s">
        <v>15</v>
      </c>
      <c r="M427" s="25">
        <f t="shared" si="15"/>
        <v>1</v>
      </c>
      <c r="N427" s="21"/>
    </row>
    <row r="428" s="3" customFormat="1" ht="39" spans="1:14">
      <c r="A428" s="27"/>
      <c r="B428" s="21"/>
      <c r="C428" s="28"/>
      <c r="D428" s="24" t="s">
        <v>1967</v>
      </c>
      <c r="E428" s="24" t="s">
        <v>932</v>
      </c>
      <c r="F428" s="24" t="s">
        <v>1968</v>
      </c>
      <c r="G428" s="24" t="s">
        <v>1977</v>
      </c>
      <c r="H428" s="24" t="s">
        <v>1978</v>
      </c>
      <c r="I428" s="24" t="s">
        <v>28</v>
      </c>
      <c r="J428" s="24" t="s">
        <v>1979</v>
      </c>
      <c r="K428" s="24" t="s">
        <v>1980</v>
      </c>
      <c r="L428" s="24" t="s">
        <v>15</v>
      </c>
      <c r="M428" s="25">
        <f t="shared" si="15"/>
        <v>1</v>
      </c>
      <c r="N428" s="21"/>
    </row>
    <row r="429" s="3" customFormat="1" ht="39" spans="1:14">
      <c r="A429" s="27"/>
      <c r="B429" s="21"/>
      <c r="C429" s="29"/>
      <c r="D429" s="24" t="s">
        <v>1967</v>
      </c>
      <c r="E429" s="24" t="s">
        <v>932</v>
      </c>
      <c r="F429" s="24" t="s">
        <v>1968</v>
      </c>
      <c r="G429" s="24" t="s">
        <v>1981</v>
      </c>
      <c r="H429" s="24" t="s">
        <v>1982</v>
      </c>
      <c r="I429" s="24" t="s">
        <v>24</v>
      </c>
      <c r="J429" s="24" t="s">
        <v>1983</v>
      </c>
      <c r="K429" s="24" t="s">
        <v>1984</v>
      </c>
      <c r="L429" s="24" t="s">
        <v>15</v>
      </c>
      <c r="M429" s="25">
        <f t="shared" si="15"/>
        <v>1</v>
      </c>
      <c r="N429" s="21"/>
    </row>
    <row r="430" s="3" customFormat="1" ht="26" spans="1:14">
      <c r="A430" s="27"/>
      <c r="B430" s="21"/>
      <c r="C430" s="22" t="s">
        <v>1985</v>
      </c>
      <c r="D430" s="22" t="s">
        <v>1986</v>
      </c>
      <c r="E430" s="24" t="s">
        <v>524</v>
      </c>
      <c r="F430" s="22" t="s">
        <v>1987</v>
      </c>
      <c r="G430" s="24" t="s">
        <v>1988</v>
      </c>
      <c r="H430" s="24" t="s">
        <v>1989</v>
      </c>
      <c r="I430" s="24" t="s">
        <v>22</v>
      </c>
      <c r="J430" s="24" t="s">
        <v>1990</v>
      </c>
      <c r="K430" s="24" t="s">
        <v>1991</v>
      </c>
      <c r="L430" s="24" t="s">
        <v>15</v>
      </c>
      <c r="M430" s="25">
        <f t="shared" ref="M430:M433" si="16">IF(L430="新增",1,IF(L430="复用",1/3,0))</f>
        <v>1</v>
      </c>
      <c r="N430" s="34"/>
    </row>
    <row r="431" s="3" customFormat="1" ht="39" spans="1:14">
      <c r="A431" s="27"/>
      <c r="B431" s="21"/>
      <c r="C431" s="28"/>
      <c r="D431" s="28"/>
      <c r="E431" s="24" t="s">
        <v>524</v>
      </c>
      <c r="F431" s="28"/>
      <c r="G431" s="24" t="s">
        <v>1992</v>
      </c>
      <c r="H431" s="24" t="s">
        <v>1993</v>
      </c>
      <c r="I431" s="24" t="s">
        <v>26</v>
      </c>
      <c r="J431" s="24" t="s">
        <v>1994</v>
      </c>
      <c r="K431" s="24" t="s">
        <v>1995</v>
      </c>
      <c r="L431" s="24" t="s">
        <v>15</v>
      </c>
      <c r="M431" s="25">
        <f t="shared" si="16"/>
        <v>1</v>
      </c>
      <c r="N431" s="34"/>
    </row>
    <row r="432" s="3" customFormat="1" ht="26" spans="1:14">
      <c r="A432" s="27"/>
      <c r="B432" s="21"/>
      <c r="C432" s="28"/>
      <c r="D432" s="28"/>
      <c r="E432" s="24" t="s">
        <v>524</v>
      </c>
      <c r="F432" s="28"/>
      <c r="G432" s="24" t="s">
        <v>1996</v>
      </c>
      <c r="H432" s="24" t="s">
        <v>1997</v>
      </c>
      <c r="I432" s="24" t="s">
        <v>28</v>
      </c>
      <c r="J432" s="24" t="s">
        <v>1998</v>
      </c>
      <c r="K432" s="24" t="s">
        <v>1999</v>
      </c>
      <c r="L432" s="24" t="s">
        <v>15</v>
      </c>
      <c r="M432" s="25">
        <f t="shared" si="16"/>
        <v>1</v>
      </c>
      <c r="N432" s="34"/>
    </row>
    <row r="433" s="3" customFormat="1" ht="26" spans="1:14">
      <c r="A433" s="27"/>
      <c r="B433" s="21"/>
      <c r="C433" s="29"/>
      <c r="D433" s="29"/>
      <c r="E433" s="24" t="s">
        <v>524</v>
      </c>
      <c r="F433" s="29"/>
      <c r="G433" s="24" t="s">
        <v>2000</v>
      </c>
      <c r="H433" s="24" t="s">
        <v>2001</v>
      </c>
      <c r="I433" s="24" t="s">
        <v>24</v>
      </c>
      <c r="J433" s="24" t="s">
        <v>2002</v>
      </c>
      <c r="K433" s="24" t="s">
        <v>2003</v>
      </c>
      <c r="L433" s="24" t="s">
        <v>15</v>
      </c>
      <c r="M433" s="25">
        <f t="shared" si="16"/>
        <v>1</v>
      </c>
      <c r="N433" s="34"/>
    </row>
    <row r="434" s="3" customFormat="1" ht="39" spans="1:14">
      <c r="A434" s="27"/>
      <c r="B434" s="21"/>
      <c r="C434" s="24" t="s">
        <v>2004</v>
      </c>
      <c r="D434" s="24" t="s">
        <v>2005</v>
      </c>
      <c r="E434" s="24" t="s">
        <v>932</v>
      </c>
      <c r="F434" s="24" t="s">
        <v>2006</v>
      </c>
      <c r="G434" s="24" t="s">
        <v>2007</v>
      </c>
      <c r="H434" s="24" t="s">
        <v>2008</v>
      </c>
      <c r="I434" s="24" t="s">
        <v>22</v>
      </c>
      <c r="J434" s="24" t="s">
        <v>2009</v>
      </c>
      <c r="K434" s="24" t="s">
        <v>2010</v>
      </c>
      <c r="L434" s="24" t="s">
        <v>15</v>
      </c>
      <c r="M434" s="25">
        <f t="shared" ref="M434:M449" si="17">IF(L434="新增",1,IF(L434="复用",1/3,0))</f>
        <v>1</v>
      </c>
      <c r="N434" s="21"/>
    </row>
    <row r="435" s="3" customFormat="1" ht="39" spans="1:14">
      <c r="A435" s="27"/>
      <c r="B435" s="21"/>
      <c r="C435" s="24"/>
      <c r="D435" s="24" t="s">
        <v>2005</v>
      </c>
      <c r="E435" s="24" t="s">
        <v>932</v>
      </c>
      <c r="F435" s="24" t="s">
        <v>2006</v>
      </c>
      <c r="G435" s="24" t="s">
        <v>2011</v>
      </c>
      <c r="H435" s="24" t="s">
        <v>2012</v>
      </c>
      <c r="I435" s="24" t="s">
        <v>26</v>
      </c>
      <c r="J435" s="24" t="s">
        <v>2013</v>
      </c>
      <c r="K435" s="24" t="s">
        <v>2014</v>
      </c>
      <c r="L435" s="24" t="s">
        <v>15</v>
      </c>
      <c r="M435" s="25">
        <f t="shared" si="17"/>
        <v>1</v>
      </c>
      <c r="N435" s="21"/>
    </row>
    <row r="436" s="3" customFormat="1" ht="39" spans="1:14">
      <c r="A436" s="27"/>
      <c r="B436" s="21"/>
      <c r="C436" s="24"/>
      <c r="D436" s="24" t="s">
        <v>2005</v>
      </c>
      <c r="E436" s="24" t="s">
        <v>932</v>
      </c>
      <c r="F436" s="24" t="s">
        <v>2006</v>
      </c>
      <c r="G436" s="24" t="s">
        <v>2015</v>
      </c>
      <c r="H436" s="24" t="s">
        <v>2016</v>
      </c>
      <c r="I436" s="24" t="s">
        <v>28</v>
      </c>
      <c r="J436" s="24" t="s">
        <v>2017</v>
      </c>
      <c r="K436" s="24" t="s">
        <v>2018</v>
      </c>
      <c r="L436" s="24" t="s">
        <v>15</v>
      </c>
      <c r="M436" s="25">
        <f t="shared" si="17"/>
        <v>1</v>
      </c>
      <c r="N436" s="21"/>
    </row>
    <row r="437" s="3" customFormat="1" ht="39" spans="1:14">
      <c r="A437" s="27"/>
      <c r="B437" s="21"/>
      <c r="C437" s="24"/>
      <c r="D437" s="24" t="s">
        <v>2005</v>
      </c>
      <c r="E437" s="24" t="s">
        <v>932</v>
      </c>
      <c r="F437" s="24" t="s">
        <v>2006</v>
      </c>
      <c r="G437" s="24" t="s">
        <v>2019</v>
      </c>
      <c r="H437" s="24" t="s">
        <v>2020</v>
      </c>
      <c r="I437" s="24" t="s">
        <v>24</v>
      </c>
      <c r="J437" s="24" t="s">
        <v>2021</v>
      </c>
      <c r="K437" s="24" t="s">
        <v>2022</v>
      </c>
      <c r="L437" s="24" t="s">
        <v>15</v>
      </c>
      <c r="M437" s="25">
        <f t="shared" si="17"/>
        <v>1</v>
      </c>
      <c r="N437" s="21"/>
    </row>
    <row r="438" ht="39" spans="1:14">
      <c r="A438" s="27"/>
      <c r="B438" s="21"/>
      <c r="C438" s="24" t="s">
        <v>2023</v>
      </c>
      <c r="D438" s="24" t="s">
        <v>2024</v>
      </c>
      <c r="E438" s="24" t="s">
        <v>932</v>
      </c>
      <c r="F438" s="24" t="s">
        <v>2025</v>
      </c>
      <c r="G438" s="24" t="s">
        <v>2026</v>
      </c>
      <c r="H438" s="24" t="s">
        <v>2027</v>
      </c>
      <c r="I438" s="24" t="s">
        <v>22</v>
      </c>
      <c r="J438" s="24" t="s">
        <v>2028</v>
      </c>
      <c r="K438" s="24" t="s">
        <v>2029</v>
      </c>
      <c r="L438" s="24" t="s">
        <v>15</v>
      </c>
      <c r="M438" s="25">
        <f t="shared" si="17"/>
        <v>1</v>
      </c>
      <c r="N438" s="35"/>
    </row>
    <row r="439" ht="39" spans="1:14">
      <c r="A439" s="27"/>
      <c r="B439" s="21"/>
      <c r="C439" s="24"/>
      <c r="D439" s="24"/>
      <c r="E439" s="24" t="s">
        <v>932</v>
      </c>
      <c r="F439" s="24" t="s">
        <v>2025</v>
      </c>
      <c r="G439" s="24" t="s">
        <v>2030</v>
      </c>
      <c r="H439" s="24" t="s">
        <v>2031</v>
      </c>
      <c r="I439" s="24" t="s">
        <v>26</v>
      </c>
      <c r="J439" s="24" t="s">
        <v>2032</v>
      </c>
      <c r="K439" s="24" t="s">
        <v>2014</v>
      </c>
      <c r="L439" s="24" t="s">
        <v>15</v>
      </c>
      <c r="M439" s="25">
        <f t="shared" si="17"/>
        <v>1</v>
      </c>
      <c r="N439" s="35"/>
    </row>
    <row r="440" ht="39" spans="1:14">
      <c r="A440" s="27"/>
      <c r="B440" s="21"/>
      <c r="C440" s="24"/>
      <c r="D440" s="24"/>
      <c r="E440" s="24" t="s">
        <v>932</v>
      </c>
      <c r="F440" s="24" t="s">
        <v>2025</v>
      </c>
      <c r="G440" s="24" t="s">
        <v>2033</v>
      </c>
      <c r="H440" s="24" t="s">
        <v>2034</v>
      </c>
      <c r="I440" s="24" t="s">
        <v>28</v>
      </c>
      <c r="J440" s="24" t="s">
        <v>2035</v>
      </c>
      <c r="K440" s="24" t="s">
        <v>2018</v>
      </c>
      <c r="L440" s="24" t="s">
        <v>15</v>
      </c>
      <c r="M440" s="25">
        <f t="shared" si="17"/>
        <v>1</v>
      </c>
      <c r="N440" s="35"/>
    </row>
    <row r="441" ht="39" spans="1:14">
      <c r="A441" s="27"/>
      <c r="B441" s="21"/>
      <c r="C441" s="24"/>
      <c r="D441" s="24"/>
      <c r="E441" s="24" t="s">
        <v>932</v>
      </c>
      <c r="F441" s="24" t="s">
        <v>2025</v>
      </c>
      <c r="G441" s="24" t="s">
        <v>2036</v>
      </c>
      <c r="H441" s="24" t="s">
        <v>2037</v>
      </c>
      <c r="I441" s="24" t="s">
        <v>24</v>
      </c>
      <c r="J441" s="24" t="s">
        <v>2038</v>
      </c>
      <c r="K441" s="24" t="s">
        <v>2022</v>
      </c>
      <c r="L441" s="24" t="s">
        <v>15</v>
      </c>
      <c r="M441" s="25">
        <f t="shared" si="17"/>
        <v>1</v>
      </c>
      <c r="N441" s="35"/>
    </row>
    <row r="442" ht="39" spans="1:14">
      <c r="A442" s="27"/>
      <c r="B442" s="21"/>
      <c r="C442" s="24" t="s">
        <v>2039</v>
      </c>
      <c r="D442" s="24" t="s">
        <v>2040</v>
      </c>
      <c r="E442" s="24" t="s">
        <v>932</v>
      </c>
      <c r="F442" s="24" t="s">
        <v>2041</v>
      </c>
      <c r="G442" s="24" t="s">
        <v>2042</v>
      </c>
      <c r="H442" s="24" t="s">
        <v>2043</v>
      </c>
      <c r="I442" s="24" t="s">
        <v>22</v>
      </c>
      <c r="J442" s="24" t="s">
        <v>2044</v>
      </c>
      <c r="K442" s="24" t="s">
        <v>2045</v>
      </c>
      <c r="L442" s="24" t="s">
        <v>15</v>
      </c>
      <c r="M442" s="25">
        <f t="shared" si="17"/>
        <v>1</v>
      </c>
      <c r="N442" s="35"/>
    </row>
    <row r="443" ht="39" spans="1:14">
      <c r="A443" s="27"/>
      <c r="B443" s="21"/>
      <c r="C443" s="24"/>
      <c r="D443" s="24"/>
      <c r="E443" s="24" t="s">
        <v>932</v>
      </c>
      <c r="F443" s="24" t="s">
        <v>2041</v>
      </c>
      <c r="G443" s="24" t="s">
        <v>2046</v>
      </c>
      <c r="H443" s="24" t="s">
        <v>2047</v>
      </c>
      <c r="I443" s="24" t="s">
        <v>26</v>
      </c>
      <c r="J443" s="24" t="s">
        <v>2048</v>
      </c>
      <c r="K443" s="24" t="s">
        <v>2049</v>
      </c>
      <c r="L443" s="24" t="s">
        <v>15</v>
      </c>
      <c r="M443" s="25">
        <f t="shared" si="17"/>
        <v>1</v>
      </c>
      <c r="N443" s="35"/>
    </row>
    <row r="444" ht="39" spans="1:14">
      <c r="A444" s="27"/>
      <c r="B444" s="21"/>
      <c r="C444" s="24"/>
      <c r="D444" s="24"/>
      <c r="E444" s="24" t="s">
        <v>932</v>
      </c>
      <c r="F444" s="24" t="s">
        <v>2041</v>
      </c>
      <c r="G444" s="24" t="s">
        <v>2050</v>
      </c>
      <c r="H444" s="24" t="s">
        <v>2051</v>
      </c>
      <c r="I444" s="24" t="s">
        <v>28</v>
      </c>
      <c r="J444" s="24" t="s">
        <v>2052</v>
      </c>
      <c r="K444" s="24" t="s">
        <v>2053</v>
      </c>
      <c r="L444" s="24" t="s">
        <v>15</v>
      </c>
      <c r="M444" s="25">
        <f t="shared" si="17"/>
        <v>1</v>
      </c>
      <c r="N444" s="35"/>
    </row>
    <row r="445" ht="39" spans="1:14">
      <c r="A445" s="27"/>
      <c r="B445" s="21"/>
      <c r="C445" s="24"/>
      <c r="D445" s="24"/>
      <c r="E445" s="24" t="s">
        <v>932</v>
      </c>
      <c r="F445" s="24" t="s">
        <v>2041</v>
      </c>
      <c r="G445" s="24" t="s">
        <v>2054</v>
      </c>
      <c r="H445" s="24" t="s">
        <v>2055</v>
      </c>
      <c r="I445" s="24" t="s">
        <v>24</v>
      </c>
      <c r="J445" s="24" t="s">
        <v>2056</v>
      </c>
      <c r="K445" s="24" t="s">
        <v>2057</v>
      </c>
      <c r="L445" s="24" t="s">
        <v>15</v>
      </c>
      <c r="M445" s="25">
        <f t="shared" si="17"/>
        <v>1</v>
      </c>
      <c r="N445" s="35"/>
    </row>
    <row r="446" ht="39" spans="1:14">
      <c r="A446" s="27"/>
      <c r="B446" s="21"/>
      <c r="C446" s="24" t="s">
        <v>2058</v>
      </c>
      <c r="D446" s="24" t="s">
        <v>2059</v>
      </c>
      <c r="E446" s="24" t="s">
        <v>524</v>
      </c>
      <c r="F446" s="24" t="s">
        <v>2060</v>
      </c>
      <c r="G446" s="24" t="s">
        <v>2061</v>
      </c>
      <c r="H446" s="24" t="s">
        <v>2062</v>
      </c>
      <c r="I446" s="24" t="s">
        <v>22</v>
      </c>
      <c r="J446" s="24" t="s">
        <v>2063</v>
      </c>
      <c r="K446" s="24" t="s">
        <v>2064</v>
      </c>
      <c r="L446" s="24" t="s">
        <v>15</v>
      </c>
      <c r="M446" s="25">
        <f t="shared" si="17"/>
        <v>1</v>
      </c>
      <c r="N446" s="35"/>
    </row>
    <row r="447" ht="39" spans="1:14">
      <c r="A447" s="27"/>
      <c r="B447" s="21"/>
      <c r="C447" s="24"/>
      <c r="D447" s="24"/>
      <c r="E447" s="24" t="s">
        <v>524</v>
      </c>
      <c r="F447" s="24" t="s">
        <v>2060</v>
      </c>
      <c r="G447" s="24" t="s">
        <v>2065</v>
      </c>
      <c r="H447" s="24" t="s">
        <v>2066</v>
      </c>
      <c r="I447" s="24" t="s">
        <v>26</v>
      </c>
      <c r="J447" s="24" t="s">
        <v>2067</v>
      </c>
      <c r="K447" s="24" t="s">
        <v>2068</v>
      </c>
      <c r="L447" s="24" t="s">
        <v>15</v>
      </c>
      <c r="M447" s="25">
        <f t="shared" si="17"/>
        <v>1</v>
      </c>
      <c r="N447" s="35"/>
    </row>
    <row r="448" ht="39" spans="1:14">
      <c r="A448" s="27"/>
      <c r="B448" s="21"/>
      <c r="C448" s="24"/>
      <c r="D448" s="24"/>
      <c r="E448" s="24" t="s">
        <v>524</v>
      </c>
      <c r="F448" s="24" t="s">
        <v>2060</v>
      </c>
      <c r="G448" s="24" t="s">
        <v>2069</v>
      </c>
      <c r="H448" s="24" t="s">
        <v>2070</v>
      </c>
      <c r="I448" s="24" t="s">
        <v>28</v>
      </c>
      <c r="J448" s="24" t="s">
        <v>2071</v>
      </c>
      <c r="K448" s="24" t="s">
        <v>2072</v>
      </c>
      <c r="L448" s="24" t="s">
        <v>15</v>
      </c>
      <c r="M448" s="25">
        <f t="shared" si="17"/>
        <v>1</v>
      </c>
      <c r="N448" s="35"/>
    </row>
    <row r="449" ht="39" spans="1:14">
      <c r="A449" s="27"/>
      <c r="B449" s="21"/>
      <c r="C449" s="24"/>
      <c r="D449" s="24"/>
      <c r="E449" s="24" t="s">
        <v>524</v>
      </c>
      <c r="F449" s="24" t="s">
        <v>2060</v>
      </c>
      <c r="G449" s="24" t="s">
        <v>2073</v>
      </c>
      <c r="H449" s="24" t="s">
        <v>2074</v>
      </c>
      <c r="I449" s="24" t="s">
        <v>24</v>
      </c>
      <c r="J449" s="24" t="s">
        <v>2075</v>
      </c>
      <c r="K449" s="24" t="s">
        <v>2076</v>
      </c>
      <c r="L449" s="24" t="s">
        <v>15</v>
      </c>
      <c r="M449" s="25">
        <f t="shared" si="17"/>
        <v>1</v>
      </c>
      <c r="N449" s="35"/>
    </row>
    <row r="450" ht="26" spans="1:14">
      <c r="A450" s="27"/>
      <c r="B450" s="36" t="s">
        <v>2077</v>
      </c>
      <c r="C450" s="24" t="s">
        <v>2078</v>
      </c>
      <c r="D450" s="24" t="s">
        <v>2079</v>
      </c>
      <c r="E450" s="24" t="s">
        <v>524</v>
      </c>
      <c r="F450" s="24" t="s">
        <v>2080</v>
      </c>
      <c r="G450" s="24" t="s">
        <v>2081</v>
      </c>
      <c r="H450" s="24" t="s">
        <v>2082</v>
      </c>
      <c r="I450" s="24" t="s">
        <v>22</v>
      </c>
      <c r="J450" s="24" t="s">
        <v>2083</v>
      </c>
      <c r="K450" s="24" t="s">
        <v>2084</v>
      </c>
      <c r="L450" s="24" t="s">
        <v>15</v>
      </c>
      <c r="M450" s="26">
        <f t="shared" ref="M450" si="18">IF(L450="新增",1,IF(L450="复用",1/3,0))</f>
        <v>1</v>
      </c>
      <c r="N450" s="35"/>
    </row>
    <row r="451" ht="39" spans="1:14">
      <c r="A451" s="27"/>
      <c r="B451" s="37"/>
      <c r="C451" s="24"/>
      <c r="D451" s="24"/>
      <c r="E451" s="24" t="s">
        <v>524</v>
      </c>
      <c r="F451" s="24" t="s">
        <v>2080</v>
      </c>
      <c r="G451" s="24" t="s">
        <v>2085</v>
      </c>
      <c r="H451" s="24" t="s">
        <v>2086</v>
      </c>
      <c r="I451" s="24" t="s">
        <v>26</v>
      </c>
      <c r="J451" s="24" t="s">
        <v>2087</v>
      </c>
      <c r="K451" s="24" t="s">
        <v>2088</v>
      </c>
      <c r="L451" s="24" t="s">
        <v>15</v>
      </c>
      <c r="M451" s="26">
        <f t="shared" ref="M451:M455" si="19">IF(L451="新增",1,IF(L451="复用",1/3,0))</f>
        <v>1</v>
      </c>
      <c r="N451" s="35"/>
    </row>
    <row r="452" ht="26" spans="1:14">
      <c r="A452" s="27"/>
      <c r="B452" s="37"/>
      <c r="C452" s="24"/>
      <c r="D452" s="24"/>
      <c r="E452" s="24" t="s">
        <v>524</v>
      </c>
      <c r="F452" s="24" t="s">
        <v>2080</v>
      </c>
      <c r="G452" s="24" t="s">
        <v>2089</v>
      </c>
      <c r="H452" s="24" t="s">
        <v>2090</v>
      </c>
      <c r="I452" s="24" t="s">
        <v>28</v>
      </c>
      <c r="J452" s="24" t="s">
        <v>2091</v>
      </c>
      <c r="K452" s="24" t="s">
        <v>2092</v>
      </c>
      <c r="L452" s="24" t="s">
        <v>15</v>
      </c>
      <c r="M452" s="26">
        <f t="shared" si="19"/>
        <v>1</v>
      </c>
      <c r="N452" s="35"/>
    </row>
    <row r="453" ht="26" spans="1:14">
      <c r="A453" s="27"/>
      <c r="B453" s="37"/>
      <c r="C453" s="24"/>
      <c r="D453" s="24"/>
      <c r="E453" s="24" t="s">
        <v>524</v>
      </c>
      <c r="F453" s="24" t="s">
        <v>2080</v>
      </c>
      <c r="G453" s="24" t="s">
        <v>2093</v>
      </c>
      <c r="H453" s="24" t="s">
        <v>2094</v>
      </c>
      <c r="I453" s="24" t="s">
        <v>24</v>
      </c>
      <c r="J453" s="24" t="s">
        <v>2095</v>
      </c>
      <c r="K453" s="24" t="s">
        <v>2096</v>
      </c>
      <c r="L453" s="24" t="s">
        <v>15</v>
      </c>
      <c r="M453" s="26">
        <f t="shared" si="19"/>
        <v>1</v>
      </c>
      <c r="N453" s="35"/>
    </row>
    <row r="454" ht="26" spans="1:14">
      <c r="A454" s="27"/>
      <c r="B454" s="37"/>
      <c r="C454" s="24" t="s">
        <v>2097</v>
      </c>
      <c r="D454" s="24" t="s">
        <v>2098</v>
      </c>
      <c r="E454" s="24" t="s">
        <v>524</v>
      </c>
      <c r="F454" s="24" t="s">
        <v>2099</v>
      </c>
      <c r="G454" s="24" t="s">
        <v>633</v>
      </c>
      <c r="H454" s="24" t="s">
        <v>2100</v>
      </c>
      <c r="I454" s="24" t="s">
        <v>22</v>
      </c>
      <c r="J454" s="24" t="s">
        <v>2101</v>
      </c>
      <c r="K454" s="24" t="s">
        <v>2102</v>
      </c>
      <c r="L454" s="24" t="s">
        <v>15</v>
      </c>
      <c r="M454" s="26">
        <f t="shared" si="19"/>
        <v>1</v>
      </c>
      <c r="N454" s="35"/>
    </row>
    <row r="455" ht="26" spans="1:14">
      <c r="A455" s="27"/>
      <c r="B455" s="37"/>
      <c r="C455" s="24"/>
      <c r="D455" s="24"/>
      <c r="E455" s="24" t="s">
        <v>524</v>
      </c>
      <c r="F455" s="24" t="s">
        <v>2099</v>
      </c>
      <c r="G455" s="24" t="s">
        <v>2103</v>
      </c>
      <c r="H455" s="24" t="s">
        <v>2104</v>
      </c>
      <c r="I455" s="24" t="s">
        <v>26</v>
      </c>
      <c r="J455" s="24" t="s">
        <v>2105</v>
      </c>
      <c r="K455" s="24" t="s">
        <v>2106</v>
      </c>
      <c r="L455" s="24" t="s">
        <v>15</v>
      </c>
      <c r="M455" s="26">
        <f t="shared" si="19"/>
        <v>1</v>
      </c>
      <c r="N455" s="35"/>
    </row>
    <row r="456" ht="26" spans="1:14">
      <c r="A456" s="27"/>
      <c r="B456" s="37"/>
      <c r="C456" s="24"/>
      <c r="D456" s="24"/>
      <c r="E456" s="24" t="s">
        <v>524</v>
      </c>
      <c r="F456" s="24" t="s">
        <v>2099</v>
      </c>
      <c r="G456" s="24" t="s">
        <v>2107</v>
      </c>
      <c r="H456" s="24" t="s">
        <v>2108</v>
      </c>
      <c r="I456" s="24" t="s">
        <v>28</v>
      </c>
      <c r="J456" s="24" t="s">
        <v>2109</v>
      </c>
      <c r="K456" s="24" t="s">
        <v>2110</v>
      </c>
      <c r="L456" s="24" t="s">
        <v>15</v>
      </c>
      <c r="M456" s="26">
        <f t="shared" ref="M456:M465" si="20">IF(L456="新增",1,IF(L456="复用",1/3,0))</f>
        <v>1</v>
      </c>
      <c r="N456" s="35"/>
    </row>
    <row r="457" ht="26" spans="1:14">
      <c r="A457" s="27"/>
      <c r="B457" s="37"/>
      <c r="C457" s="24"/>
      <c r="D457" s="24"/>
      <c r="E457" s="24" t="s">
        <v>524</v>
      </c>
      <c r="F457" s="24" t="s">
        <v>2099</v>
      </c>
      <c r="G457" s="24" t="s">
        <v>324</v>
      </c>
      <c r="H457" s="24" t="s">
        <v>2111</v>
      </c>
      <c r="I457" s="24" t="s">
        <v>24</v>
      </c>
      <c r="J457" s="24" t="s">
        <v>326</v>
      </c>
      <c r="K457" s="24" t="s">
        <v>2112</v>
      </c>
      <c r="L457" s="24" t="s">
        <v>15</v>
      </c>
      <c r="M457" s="26">
        <f t="shared" si="20"/>
        <v>1</v>
      </c>
      <c r="N457" s="35"/>
    </row>
    <row r="458" ht="26" spans="1:14">
      <c r="A458" s="27"/>
      <c r="B458" s="37"/>
      <c r="C458" s="24" t="s">
        <v>2113</v>
      </c>
      <c r="D458" s="24" t="s">
        <v>2114</v>
      </c>
      <c r="E458" s="24" t="s">
        <v>524</v>
      </c>
      <c r="F458" s="24" t="s">
        <v>2115</v>
      </c>
      <c r="G458" s="24" t="s">
        <v>2116</v>
      </c>
      <c r="H458" s="24" t="s">
        <v>2117</v>
      </c>
      <c r="I458" s="24" t="s">
        <v>22</v>
      </c>
      <c r="J458" s="24" t="s">
        <v>2118</v>
      </c>
      <c r="K458" s="24" t="s">
        <v>2119</v>
      </c>
      <c r="L458" s="24" t="s">
        <v>15</v>
      </c>
      <c r="M458" s="26">
        <f t="shared" si="20"/>
        <v>1</v>
      </c>
      <c r="N458" s="35"/>
    </row>
    <row r="459" ht="26" spans="1:14">
      <c r="A459" s="27"/>
      <c r="B459" s="37"/>
      <c r="C459" s="24"/>
      <c r="D459" s="24"/>
      <c r="E459" s="24" t="s">
        <v>524</v>
      </c>
      <c r="F459" s="24" t="s">
        <v>2115</v>
      </c>
      <c r="G459" s="24" t="s">
        <v>2120</v>
      </c>
      <c r="H459" s="24" t="s">
        <v>2121</v>
      </c>
      <c r="I459" s="24" t="s">
        <v>26</v>
      </c>
      <c r="J459" s="24" t="s">
        <v>2122</v>
      </c>
      <c r="K459" s="24" t="s">
        <v>2123</v>
      </c>
      <c r="L459" s="24" t="s">
        <v>15</v>
      </c>
      <c r="M459" s="26">
        <f t="shared" si="20"/>
        <v>1</v>
      </c>
      <c r="N459" s="35"/>
    </row>
    <row r="460" ht="26" spans="1:14">
      <c r="A460" s="27"/>
      <c r="B460" s="37"/>
      <c r="C460" s="24"/>
      <c r="D460" s="24"/>
      <c r="E460" s="24" t="s">
        <v>524</v>
      </c>
      <c r="F460" s="24" t="s">
        <v>2115</v>
      </c>
      <c r="G460" s="24" t="s">
        <v>2124</v>
      </c>
      <c r="H460" s="24" t="s">
        <v>2125</v>
      </c>
      <c r="I460" s="24" t="s">
        <v>28</v>
      </c>
      <c r="J460" s="24" t="s">
        <v>2126</v>
      </c>
      <c r="K460" s="24" t="s">
        <v>2127</v>
      </c>
      <c r="L460" s="24" t="s">
        <v>15</v>
      </c>
      <c r="M460" s="26">
        <f t="shared" si="20"/>
        <v>1</v>
      </c>
      <c r="N460" s="35"/>
    </row>
    <row r="461" ht="39" spans="1:14">
      <c r="A461" s="27"/>
      <c r="B461" s="37"/>
      <c r="C461" s="24"/>
      <c r="D461" s="24"/>
      <c r="E461" s="24" t="s">
        <v>524</v>
      </c>
      <c r="F461" s="24" t="s">
        <v>2115</v>
      </c>
      <c r="G461" s="24" t="s">
        <v>2128</v>
      </c>
      <c r="H461" s="24" t="s">
        <v>2129</v>
      </c>
      <c r="I461" s="24" t="s">
        <v>24</v>
      </c>
      <c r="J461" s="24" t="s">
        <v>2130</v>
      </c>
      <c r="K461" s="24" t="s">
        <v>2131</v>
      </c>
      <c r="L461" s="24" t="s">
        <v>15</v>
      </c>
      <c r="M461" s="26">
        <f t="shared" si="20"/>
        <v>1</v>
      </c>
      <c r="N461" s="35"/>
    </row>
    <row r="462" ht="26" spans="1:14">
      <c r="A462" s="27"/>
      <c r="B462" s="37"/>
      <c r="C462" s="24" t="s">
        <v>2132</v>
      </c>
      <c r="D462" s="24" t="s">
        <v>2133</v>
      </c>
      <c r="E462" s="24" t="s">
        <v>524</v>
      </c>
      <c r="F462" s="24" t="s">
        <v>2134</v>
      </c>
      <c r="G462" s="24" t="s">
        <v>2135</v>
      </c>
      <c r="H462" s="24" t="s">
        <v>2136</v>
      </c>
      <c r="I462" s="24" t="s">
        <v>22</v>
      </c>
      <c r="J462" s="24" t="s">
        <v>2137</v>
      </c>
      <c r="K462" s="24" t="s">
        <v>2138</v>
      </c>
      <c r="L462" s="24" t="s">
        <v>15</v>
      </c>
      <c r="M462" s="26">
        <f t="shared" si="20"/>
        <v>1</v>
      </c>
      <c r="N462" s="35"/>
    </row>
    <row r="463" ht="39" spans="1:14">
      <c r="A463" s="27"/>
      <c r="B463" s="37"/>
      <c r="C463" s="24"/>
      <c r="D463" s="24"/>
      <c r="E463" s="24" t="s">
        <v>524</v>
      </c>
      <c r="F463" s="24" t="s">
        <v>2134</v>
      </c>
      <c r="G463" s="24" t="s">
        <v>2139</v>
      </c>
      <c r="H463" s="24" t="s">
        <v>2140</v>
      </c>
      <c r="I463" s="24" t="s">
        <v>26</v>
      </c>
      <c r="J463" s="24" t="s">
        <v>2141</v>
      </c>
      <c r="K463" s="24" t="s">
        <v>2142</v>
      </c>
      <c r="L463" s="24" t="s">
        <v>15</v>
      </c>
      <c r="M463" s="26">
        <f t="shared" si="20"/>
        <v>1</v>
      </c>
      <c r="N463" s="35"/>
    </row>
    <row r="464" ht="26" spans="1:14">
      <c r="A464" s="27"/>
      <c r="B464" s="37"/>
      <c r="C464" s="24"/>
      <c r="D464" s="24"/>
      <c r="E464" s="24" t="s">
        <v>524</v>
      </c>
      <c r="F464" s="24" t="s">
        <v>2134</v>
      </c>
      <c r="G464" s="24" t="s">
        <v>2143</v>
      </c>
      <c r="H464" s="24" t="s">
        <v>2144</v>
      </c>
      <c r="I464" s="24" t="s">
        <v>28</v>
      </c>
      <c r="J464" s="24" t="s">
        <v>2145</v>
      </c>
      <c r="K464" s="24" t="s">
        <v>2146</v>
      </c>
      <c r="L464" s="24" t="s">
        <v>15</v>
      </c>
      <c r="M464" s="26">
        <f t="shared" si="20"/>
        <v>1</v>
      </c>
      <c r="N464" s="35"/>
    </row>
    <row r="465" ht="26" spans="1:14">
      <c r="A465" s="27"/>
      <c r="B465" s="37"/>
      <c r="C465" s="24"/>
      <c r="D465" s="24"/>
      <c r="E465" s="24" t="s">
        <v>524</v>
      </c>
      <c r="F465" s="24" t="s">
        <v>2134</v>
      </c>
      <c r="G465" s="24" t="s">
        <v>2147</v>
      </c>
      <c r="H465" s="24" t="s">
        <v>2148</v>
      </c>
      <c r="I465" s="24" t="s">
        <v>24</v>
      </c>
      <c r="J465" s="24" t="s">
        <v>2149</v>
      </c>
      <c r="K465" s="24" t="s">
        <v>2150</v>
      </c>
      <c r="L465" s="24" t="s">
        <v>15</v>
      </c>
      <c r="M465" s="26">
        <f t="shared" si="20"/>
        <v>1</v>
      </c>
      <c r="N465" s="35"/>
    </row>
    <row r="466" ht="26" spans="1:14">
      <c r="A466" s="27"/>
      <c r="B466" s="37"/>
      <c r="C466" s="24" t="s">
        <v>2151</v>
      </c>
      <c r="D466" s="24" t="s">
        <v>2152</v>
      </c>
      <c r="E466" s="24" t="s">
        <v>524</v>
      </c>
      <c r="F466" s="24" t="s">
        <v>2153</v>
      </c>
      <c r="G466" s="24" t="s">
        <v>2154</v>
      </c>
      <c r="H466" s="24" t="s">
        <v>2155</v>
      </c>
      <c r="I466" s="24" t="s">
        <v>22</v>
      </c>
      <c r="J466" s="24" t="s">
        <v>2156</v>
      </c>
      <c r="K466" s="24" t="s">
        <v>2157</v>
      </c>
      <c r="L466" s="24" t="s">
        <v>15</v>
      </c>
      <c r="M466" s="26">
        <f t="shared" ref="M466:M500" si="21">IF(L466="新增",1,IF(L466="复用",1/3,0))</f>
        <v>1</v>
      </c>
      <c r="N466" s="35"/>
    </row>
    <row r="467" ht="39" spans="1:14">
      <c r="A467" s="27"/>
      <c r="B467" s="37"/>
      <c r="C467" s="24"/>
      <c r="D467" s="24"/>
      <c r="E467" s="24" t="s">
        <v>524</v>
      </c>
      <c r="F467" s="24" t="s">
        <v>2153</v>
      </c>
      <c r="G467" s="24" t="s">
        <v>2158</v>
      </c>
      <c r="H467" s="24" t="s">
        <v>2159</v>
      </c>
      <c r="I467" s="24" t="s">
        <v>26</v>
      </c>
      <c r="J467" s="24" t="s">
        <v>2160</v>
      </c>
      <c r="K467" s="24" t="s">
        <v>2161</v>
      </c>
      <c r="L467" s="24" t="s">
        <v>15</v>
      </c>
      <c r="M467" s="26">
        <f t="shared" si="21"/>
        <v>1</v>
      </c>
      <c r="N467" s="35"/>
    </row>
    <row r="468" ht="26" spans="1:14">
      <c r="A468" s="27"/>
      <c r="B468" s="37"/>
      <c r="C468" s="24"/>
      <c r="D468" s="24"/>
      <c r="E468" s="24" t="s">
        <v>524</v>
      </c>
      <c r="F468" s="24" t="s">
        <v>2153</v>
      </c>
      <c r="G468" s="24" t="s">
        <v>2162</v>
      </c>
      <c r="H468" s="24" t="s">
        <v>2163</v>
      </c>
      <c r="I468" s="24" t="s">
        <v>28</v>
      </c>
      <c r="J468" s="24" t="s">
        <v>2164</v>
      </c>
      <c r="K468" s="24" t="s">
        <v>2165</v>
      </c>
      <c r="L468" s="24" t="s">
        <v>15</v>
      </c>
      <c r="M468" s="26">
        <f t="shared" si="21"/>
        <v>1</v>
      </c>
      <c r="N468" s="35"/>
    </row>
    <row r="469" ht="26" spans="1:14">
      <c r="A469" s="27"/>
      <c r="B469" s="37"/>
      <c r="C469" s="24"/>
      <c r="D469" s="24"/>
      <c r="E469" s="24" t="s">
        <v>524</v>
      </c>
      <c r="F469" s="24" t="s">
        <v>2153</v>
      </c>
      <c r="G469" s="24" t="s">
        <v>2166</v>
      </c>
      <c r="H469" s="24" t="s">
        <v>2167</v>
      </c>
      <c r="I469" s="24" t="s">
        <v>24</v>
      </c>
      <c r="J469" s="24" t="s">
        <v>2168</v>
      </c>
      <c r="K469" s="24" t="s">
        <v>2169</v>
      </c>
      <c r="L469" s="24" t="s">
        <v>15</v>
      </c>
      <c r="M469" s="26">
        <f t="shared" si="21"/>
        <v>1</v>
      </c>
      <c r="N469" s="35"/>
    </row>
    <row r="470" ht="26" spans="1:14">
      <c r="A470" s="27"/>
      <c r="B470" s="37"/>
      <c r="C470" s="24" t="s">
        <v>2170</v>
      </c>
      <c r="D470" s="24" t="s">
        <v>2170</v>
      </c>
      <c r="E470" s="24" t="s">
        <v>524</v>
      </c>
      <c r="F470" s="24" t="s">
        <v>2171</v>
      </c>
      <c r="G470" s="24" t="s">
        <v>2172</v>
      </c>
      <c r="H470" s="24" t="s">
        <v>2173</v>
      </c>
      <c r="I470" s="24" t="s">
        <v>22</v>
      </c>
      <c r="J470" s="24" t="s">
        <v>2174</v>
      </c>
      <c r="K470" s="24" t="s">
        <v>2175</v>
      </c>
      <c r="L470" s="24" t="s">
        <v>15</v>
      </c>
      <c r="M470" s="26">
        <f t="shared" si="21"/>
        <v>1</v>
      </c>
      <c r="N470" s="35"/>
    </row>
    <row r="471" ht="39" spans="1:14">
      <c r="A471" s="27"/>
      <c r="B471" s="37"/>
      <c r="C471" s="24"/>
      <c r="D471" s="24"/>
      <c r="E471" s="24" t="s">
        <v>524</v>
      </c>
      <c r="F471" s="24" t="s">
        <v>2171</v>
      </c>
      <c r="G471" s="24" t="s">
        <v>2176</v>
      </c>
      <c r="H471" s="24" t="s">
        <v>2177</v>
      </c>
      <c r="I471" s="24" t="s">
        <v>26</v>
      </c>
      <c r="J471" s="24" t="s">
        <v>2178</v>
      </c>
      <c r="K471" s="24" t="s">
        <v>2179</v>
      </c>
      <c r="L471" s="24" t="s">
        <v>15</v>
      </c>
      <c r="M471" s="26">
        <f t="shared" si="21"/>
        <v>1</v>
      </c>
      <c r="N471" s="35"/>
    </row>
    <row r="472" ht="26" spans="1:14">
      <c r="A472" s="27"/>
      <c r="B472" s="37"/>
      <c r="C472" s="24"/>
      <c r="D472" s="24"/>
      <c r="E472" s="24" t="s">
        <v>524</v>
      </c>
      <c r="F472" s="24" t="s">
        <v>2171</v>
      </c>
      <c r="G472" s="24" t="s">
        <v>2180</v>
      </c>
      <c r="H472" s="24" t="s">
        <v>2181</v>
      </c>
      <c r="I472" s="24" t="s">
        <v>28</v>
      </c>
      <c r="J472" s="24" t="s">
        <v>2182</v>
      </c>
      <c r="K472" s="24" t="s">
        <v>2183</v>
      </c>
      <c r="L472" s="24" t="s">
        <v>15</v>
      </c>
      <c r="M472" s="26">
        <f t="shared" si="21"/>
        <v>1</v>
      </c>
      <c r="N472" s="35"/>
    </row>
    <row r="473" ht="26" spans="1:14">
      <c r="A473" s="27"/>
      <c r="B473" s="37"/>
      <c r="C473" s="24"/>
      <c r="D473" s="24"/>
      <c r="E473" s="24" t="s">
        <v>524</v>
      </c>
      <c r="F473" s="24" t="s">
        <v>2171</v>
      </c>
      <c r="G473" s="24" t="s">
        <v>2184</v>
      </c>
      <c r="H473" s="24" t="s">
        <v>2185</v>
      </c>
      <c r="I473" s="24" t="s">
        <v>24</v>
      </c>
      <c r="J473" s="24" t="s">
        <v>2186</v>
      </c>
      <c r="K473" s="24" t="s">
        <v>2187</v>
      </c>
      <c r="L473" s="24" t="s">
        <v>15</v>
      </c>
      <c r="M473" s="26">
        <f t="shared" si="21"/>
        <v>1</v>
      </c>
      <c r="N473" s="35"/>
    </row>
    <row r="474" ht="26" spans="1:14">
      <c r="A474" s="27"/>
      <c r="B474" s="37"/>
      <c r="C474" s="24" t="s">
        <v>2188</v>
      </c>
      <c r="D474" s="24" t="s">
        <v>2189</v>
      </c>
      <c r="E474" s="24" t="s">
        <v>524</v>
      </c>
      <c r="F474" s="24" t="s">
        <v>2190</v>
      </c>
      <c r="G474" s="24" t="s">
        <v>2191</v>
      </c>
      <c r="H474" s="24" t="s">
        <v>2192</v>
      </c>
      <c r="I474" s="24" t="s">
        <v>22</v>
      </c>
      <c r="J474" s="24" t="s">
        <v>2193</v>
      </c>
      <c r="K474" s="24" t="s">
        <v>2194</v>
      </c>
      <c r="L474" s="24" t="s">
        <v>15</v>
      </c>
      <c r="M474" s="26">
        <f t="shared" si="21"/>
        <v>1</v>
      </c>
      <c r="N474" s="35"/>
    </row>
    <row r="475" ht="39" spans="1:14">
      <c r="A475" s="27"/>
      <c r="B475" s="37"/>
      <c r="C475" s="24"/>
      <c r="D475" s="24"/>
      <c r="E475" s="24" t="s">
        <v>524</v>
      </c>
      <c r="F475" s="24" t="s">
        <v>2190</v>
      </c>
      <c r="G475" s="24" t="s">
        <v>2195</v>
      </c>
      <c r="H475" s="24" t="s">
        <v>2196</v>
      </c>
      <c r="I475" s="24" t="s">
        <v>26</v>
      </c>
      <c r="J475" s="24" t="s">
        <v>2197</v>
      </c>
      <c r="K475" s="24" t="s">
        <v>2198</v>
      </c>
      <c r="L475" s="24" t="s">
        <v>15</v>
      </c>
      <c r="M475" s="26">
        <f t="shared" si="21"/>
        <v>1</v>
      </c>
      <c r="N475" s="35"/>
    </row>
    <row r="476" ht="26" spans="1:14">
      <c r="A476" s="27"/>
      <c r="B476" s="37"/>
      <c r="C476" s="24"/>
      <c r="D476" s="24"/>
      <c r="E476" s="24" t="s">
        <v>524</v>
      </c>
      <c r="F476" s="24" t="s">
        <v>2190</v>
      </c>
      <c r="G476" s="24" t="s">
        <v>2199</v>
      </c>
      <c r="H476" s="24" t="s">
        <v>2200</v>
      </c>
      <c r="I476" s="24" t="s">
        <v>28</v>
      </c>
      <c r="J476" s="24" t="s">
        <v>2201</v>
      </c>
      <c r="K476" s="24" t="s">
        <v>2202</v>
      </c>
      <c r="L476" s="24" t="s">
        <v>15</v>
      </c>
      <c r="M476" s="26">
        <f t="shared" si="21"/>
        <v>1</v>
      </c>
      <c r="N476" s="35"/>
    </row>
    <row r="477" ht="26" spans="1:14">
      <c r="A477" s="27"/>
      <c r="B477" s="37"/>
      <c r="C477" s="24"/>
      <c r="D477" s="24"/>
      <c r="E477" s="24" t="s">
        <v>524</v>
      </c>
      <c r="F477" s="24" t="s">
        <v>2190</v>
      </c>
      <c r="G477" s="24" t="s">
        <v>2203</v>
      </c>
      <c r="H477" s="24" t="s">
        <v>2204</v>
      </c>
      <c r="I477" s="24" t="s">
        <v>24</v>
      </c>
      <c r="J477" s="24" t="s">
        <v>2205</v>
      </c>
      <c r="K477" s="24" t="s">
        <v>2206</v>
      </c>
      <c r="L477" s="24" t="s">
        <v>15</v>
      </c>
      <c r="M477" s="26">
        <f t="shared" si="21"/>
        <v>1</v>
      </c>
      <c r="N477" s="35"/>
    </row>
    <row r="478" ht="26" spans="1:14">
      <c r="A478" s="27"/>
      <c r="B478" s="37"/>
      <c r="C478" s="24" t="s">
        <v>2207</v>
      </c>
      <c r="D478" s="24" t="s">
        <v>2208</v>
      </c>
      <c r="E478" s="24" t="s">
        <v>524</v>
      </c>
      <c r="F478" s="24" t="s">
        <v>2209</v>
      </c>
      <c r="G478" s="24" t="s">
        <v>2210</v>
      </c>
      <c r="H478" s="24" t="s">
        <v>2211</v>
      </c>
      <c r="I478" s="24" t="s">
        <v>22</v>
      </c>
      <c r="J478" s="24" t="s">
        <v>2212</v>
      </c>
      <c r="K478" s="24" t="s">
        <v>2213</v>
      </c>
      <c r="L478" s="24" t="s">
        <v>15</v>
      </c>
      <c r="M478" s="26">
        <f t="shared" si="21"/>
        <v>1</v>
      </c>
      <c r="N478" s="35"/>
    </row>
    <row r="479" ht="39" spans="1:14">
      <c r="A479" s="27"/>
      <c r="B479" s="37"/>
      <c r="C479" s="24"/>
      <c r="D479" s="24"/>
      <c r="E479" s="24" t="s">
        <v>524</v>
      </c>
      <c r="F479" s="24" t="s">
        <v>2209</v>
      </c>
      <c r="G479" s="24" t="s">
        <v>2214</v>
      </c>
      <c r="H479" s="24" t="s">
        <v>2215</v>
      </c>
      <c r="I479" s="24" t="s">
        <v>26</v>
      </c>
      <c r="J479" s="24" t="s">
        <v>2216</v>
      </c>
      <c r="K479" s="24" t="s">
        <v>2217</v>
      </c>
      <c r="L479" s="24" t="s">
        <v>15</v>
      </c>
      <c r="M479" s="26">
        <f t="shared" si="21"/>
        <v>1</v>
      </c>
      <c r="N479" s="35"/>
    </row>
    <row r="480" ht="26" spans="1:14">
      <c r="A480" s="27"/>
      <c r="B480" s="37"/>
      <c r="C480" s="24"/>
      <c r="D480" s="24"/>
      <c r="E480" s="24" t="s">
        <v>524</v>
      </c>
      <c r="F480" s="24" t="s">
        <v>2209</v>
      </c>
      <c r="G480" s="24" t="s">
        <v>2218</v>
      </c>
      <c r="H480" s="24" t="s">
        <v>2219</v>
      </c>
      <c r="I480" s="24" t="s">
        <v>28</v>
      </c>
      <c r="J480" s="24" t="s">
        <v>2220</v>
      </c>
      <c r="K480" s="24" t="s">
        <v>2221</v>
      </c>
      <c r="L480" s="24" t="s">
        <v>15</v>
      </c>
      <c r="M480" s="26">
        <f t="shared" si="21"/>
        <v>1</v>
      </c>
      <c r="N480" s="35"/>
    </row>
    <row r="481" ht="26" spans="1:14">
      <c r="A481" s="27"/>
      <c r="B481" s="37"/>
      <c r="C481" s="24"/>
      <c r="D481" s="24"/>
      <c r="E481" s="24" t="s">
        <v>524</v>
      </c>
      <c r="F481" s="24" t="s">
        <v>2209</v>
      </c>
      <c r="G481" s="24" t="s">
        <v>2222</v>
      </c>
      <c r="H481" s="24" t="s">
        <v>2223</v>
      </c>
      <c r="I481" s="24" t="s">
        <v>24</v>
      </c>
      <c r="J481" s="24" t="s">
        <v>2224</v>
      </c>
      <c r="K481" s="24" t="s">
        <v>2225</v>
      </c>
      <c r="L481" s="24" t="s">
        <v>15</v>
      </c>
      <c r="M481" s="26">
        <f t="shared" si="21"/>
        <v>1</v>
      </c>
      <c r="N481" s="35"/>
    </row>
    <row r="482" ht="26" spans="1:14">
      <c r="A482" s="27"/>
      <c r="B482" s="37"/>
      <c r="C482" s="24" t="s">
        <v>2226</v>
      </c>
      <c r="D482" s="24" t="s">
        <v>2227</v>
      </c>
      <c r="E482" s="24" t="s">
        <v>524</v>
      </c>
      <c r="F482" s="24" t="s">
        <v>2228</v>
      </c>
      <c r="G482" s="24" t="s">
        <v>2229</v>
      </c>
      <c r="H482" s="24" t="s">
        <v>2230</v>
      </c>
      <c r="I482" s="24" t="s">
        <v>22</v>
      </c>
      <c r="J482" s="24" t="s">
        <v>2231</v>
      </c>
      <c r="K482" s="24" t="s">
        <v>2232</v>
      </c>
      <c r="L482" s="24" t="s">
        <v>15</v>
      </c>
      <c r="M482" s="26">
        <f t="shared" si="21"/>
        <v>1</v>
      </c>
      <c r="N482" s="35"/>
    </row>
    <row r="483" ht="39" spans="1:14">
      <c r="A483" s="27"/>
      <c r="B483" s="37"/>
      <c r="C483" s="24"/>
      <c r="D483" s="24"/>
      <c r="E483" s="24" t="s">
        <v>524</v>
      </c>
      <c r="F483" s="24" t="s">
        <v>2228</v>
      </c>
      <c r="G483" s="24" t="s">
        <v>2233</v>
      </c>
      <c r="H483" s="24" t="s">
        <v>2234</v>
      </c>
      <c r="I483" s="24" t="s">
        <v>26</v>
      </c>
      <c r="J483" s="24" t="s">
        <v>2235</v>
      </c>
      <c r="K483" s="24" t="s">
        <v>2236</v>
      </c>
      <c r="L483" s="24" t="s">
        <v>15</v>
      </c>
      <c r="M483" s="26">
        <f t="shared" si="21"/>
        <v>1</v>
      </c>
      <c r="N483" s="35"/>
    </row>
    <row r="484" ht="26" spans="1:14">
      <c r="A484" s="27"/>
      <c r="B484" s="37"/>
      <c r="C484" s="24"/>
      <c r="D484" s="24"/>
      <c r="E484" s="24" t="s">
        <v>524</v>
      </c>
      <c r="F484" s="24" t="s">
        <v>2228</v>
      </c>
      <c r="G484" s="24" t="s">
        <v>2237</v>
      </c>
      <c r="H484" s="24" t="s">
        <v>2238</v>
      </c>
      <c r="I484" s="24" t="s">
        <v>28</v>
      </c>
      <c r="J484" s="24" t="s">
        <v>2239</v>
      </c>
      <c r="K484" s="24" t="s">
        <v>2240</v>
      </c>
      <c r="L484" s="24" t="s">
        <v>15</v>
      </c>
      <c r="M484" s="26">
        <f t="shared" si="21"/>
        <v>1</v>
      </c>
      <c r="N484" s="35"/>
    </row>
    <row r="485" ht="26" spans="1:14">
      <c r="A485" s="27"/>
      <c r="B485" s="37"/>
      <c r="C485" s="24"/>
      <c r="D485" s="24"/>
      <c r="E485" s="24" t="s">
        <v>524</v>
      </c>
      <c r="F485" s="24" t="s">
        <v>2228</v>
      </c>
      <c r="G485" s="24" t="s">
        <v>2241</v>
      </c>
      <c r="H485" s="24" t="s">
        <v>2242</v>
      </c>
      <c r="I485" s="24" t="s">
        <v>24</v>
      </c>
      <c r="J485" s="24" t="s">
        <v>2243</v>
      </c>
      <c r="K485" s="24" t="s">
        <v>2244</v>
      </c>
      <c r="L485" s="24" t="s">
        <v>15</v>
      </c>
      <c r="M485" s="26">
        <f t="shared" si="21"/>
        <v>1</v>
      </c>
      <c r="N485" s="35"/>
    </row>
    <row r="486" ht="26" spans="1:14">
      <c r="A486" s="27"/>
      <c r="B486" s="37"/>
      <c r="C486" s="24" t="s">
        <v>2245</v>
      </c>
      <c r="D486" s="24" t="s">
        <v>2246</v>
      </c>
      <c r="E486" s="24" t="s">
        <v>524</v>
      </c>
      <c r="F486" s="24" t="s">
        <v>2247</v>
      </c>
      <c r="G486" s="24" t="s">
        <v>2248</v>
      </c>
      <c r="H486" s="24" t="s">
        <v>2249</v>
      </c>
      <c r="I486" s="24" t="s">
        <v>22</v>
      </c>
      <c r="J486" s="24" t="s">
        <v>2250</v>
      </c>
      <c r="K486" s="24" t="s">
        <v>2251</v>
      </c>
      <c r="L486" s="24" t="s">
        <v>15</v>
      </c>
      <c r="M486" s="26">
        <f t="shared" si="21"/>
        <v>1</v>
      </c>
      <c r="N486" s="35"/>
    </row>
    <row r="487" ht="39" spans="1:14">
      <c r="A487" s="27"/>
      <c r="B487" s="37"/>
      <c r="C487" s="24"/>
      <c r="D487" s="24"/>
      <c r="E487" s="24" t="s">
        <v>524</v>
      </c>
      <c r="F487" s="24" t="s">
        <v>2247</v>
      </c>
      <c r="G487" s="24" t="s">
        <v>2252</v>
      </c>
      <c r="H487" s="24" t="s">
        <v>2253</v>
      </c>
      <c r="I487" s="24" t="s">
        <v>26</v>
      </c>
      <c r="J487" s="24" t="s">
        <v>2254</v>
      </c>
      <c r="K487" s="24" t="s">
        <v>2255</v>
      </c>
      <c r="L487" s="24" t="s">
        <v>15</v>
      </c>
      <c r="M487" s="26">
        <f t="shared" si="21"/>
        <v>1</v>
      </c>
      <c r="N487" s="35"/>
    </row>
    <row r="488" ht="26" spans="1:14">
      <c r="A488" s="27"/>
      <c r="B488" s="37"/>
      <c r="C488" s="24"/>
      <c r="D488" s="24"/>
      <c r="E488" s="24" t="s">
        <v>524</v>
      </c>
      <c r="F488" s="24" t="s">
        <v>2247</v>
      </c>
      <c r="G488" s="24" t="s">
        <v>2256</v>
      </c>
      <c r="H488" s="24" t="s">
        <v>2257</v>
      </c>
      <c r="I488" s="24" t="s">
        <v>28</v>
      </c>
      <c r="J488" s="24" t="s">
        <v>2258</v>
      </c>
      <c r="K488" s="24" t="s">
        <v>2259</v>
      </c>
      <c r="L488" s="24" t="s">
        <v>15</v>
      </c>
      <c r="M488" s="26">
        <f t="shared" si="21"/>
        <v>1</v>
      </c>
      <c r="N488" s="35"/>
    </row>
    <row r="489" ht="26" spans="1:14">
      <c r="A489" s="27"/>
      <c r="B489" s="37"/>
      <c r="C489" s="24"/>
      <c r="D489" s="24"/>
      <c r="E489" s="24" t="s">
        <v>524</v>
      </c>
      <c r="F489" s="24" t="s">
        <v>2247</v>
      </c>
      <c r="G489" s="24" t="s">
        <v>2260</v>
      </c>
      <c r="H489" s="24" t="s">
        <v>2261</v>
      </c>
      <c r="I489" s="24" t="s">
        <v>24</v>
      </c>
      <c r="J489" s="24" t="s">
        <v>2262</v>
      </c>
      <c r="K489" s="24" t="s">
        <v>2263</v>
      </c>
      <c r="L489" s="24" t="s">
        <v>15</v>
      </c>
      <c r="M489" s="26">
        <f t="shared" si="21"/>
        <v>1</v>
      </c>
      <c r="N489" s="35"/>
    </row>
    <row r="490" ht="26" spans="1:14">
      <c r="A490" s="27"/>
      <c r="B490" s="37"/>
      <c r="C490" s="24" t="s">
        <v>2264</v>
      </c>
      <c r="D490" s="24" t="s">
        <v>2265</v>
      </c>
      <c r="E490" s="24" t="s">
        <v>524</v>
      </c>
      <c r="F490" s="24" t="s">
        <v>2266</v>
      </c>
      <c r="G490" s="24" t="s">
        <v>803</v>
      </c>
      <c r="H490" s="24" t="s">
        <v>2267</v>
      </c>
      <c r="I490" s="24" t="s">
        <v>22</v>
      </c>
      <c r="J490" s="24" t="s">
        <v>1463</v>
      </c>
      <c r="K490" s="24" t="s">
        <v>2268</v>
      </c>
      <c r="L490" s="24" t="s">
        <v>15</v>
      </c>
      <c r="M490" s="26">
        <f t="shared" si="21"/>
        <v>1</v>
      </c>
      <c r="N490" s="35"/>
    </row>
    <row r="491" ht="39" spans="1:14">
      <c r="A491" s="27"/>
      <c r="B491" s="37"/>
      <c r="C491" s="24"/>
      <c r="D491" s="24"/>
      <c r="E491" s="24" t="s">
        <v>524</v>
      </c>
      <c r="F491" s="24" t="s">
        <v>2266</v>
      </c>
      <c r="G491" s="24" t="s">
        <v>2269</v>
      </c>
      <c r="H491" s="24" t="s">
        <v>2270</v>
      </c>
      <c r="I491" s="24" t="s">
        <v>26</v>
      </c>
      <c r="J491" s="24" t="s">
        <v>2271</v>
      </c>
      <c r="K491" s="24" t="s">
        <v>2272</v>
      </c>
      <c r="L491" s="24" t="s">
        <v>15</v>
      </c>
      <c r="M491" s="26">
        <f t="shared" si="21"/>
        <v>1</v>
      </c>
      <c r="N491" s="35"/>
    </row>
    <row r="492" ht="26" spans="1:14">
      <c r="A492" s="27"/>
      <c r="B492" s="37"/>
      <c r="C492" s="24"/>
      <c r="D492" s="24"/>
      <c r="E492" s="24" t="s">
        <v>524</v>
      </c>
      <c r="F492" s="24" t="s">
        <v>2266</v>
      </c>
      <c r="G492" s="24" t="s">
        <v>1469</v>
      </c>
      <c r="H492" s="24" t="s">
        <v>2273</v>
      </c>
      <c r="I492" s="24" t="s">
        <v>28</v>
      </c>
      <c r="J492" s="24" t="s">
        <v>1471</v>
      </c>
      <c r="K492" s="24" t="s">
        <v>2274</v>
      </c>
      <c r="L492" s="24" t="s">
        <v>15</v>
      </c>
      <c r="M492" s="26">
        <f t="shared" si="21"/>
        <v>1</v>
      </c>
      <c r="N492" s="35"/>
    </row>
    <row r="493" ht="26" spans="1:14">
      <c r="A493" s="27"/>
      <c r="B493" s="37"/>
      <c r="C493" s="24"/>
      <c r="D493" s="24"/>
      <c r="E493" s="24" t="s">
        <v>524</v>
      </c>
      <c r="F493" s="24" t="s">
        <v>2266</v>
      </c>
      <c r="G493" s="24" t="s">
        <v>815</v>
      </c>
      <c r="H493" s="24" t="s">
        <v>2275</v>
      </c>
      <c r="I493" s="24" t="s">
        <v>24</v>
      </c>
      <c r="J493" s="24" t="s">
        <v>2276</v>
      </c>
      <c r="K493" s="24" t="s">
        <v>2277</v>
      </c>
      <c r="L493" s="24" t="s">
        <v>15</v>
      </c>
      <c r="M493" s="26">
        <f t="shared" si="21"/>
        <v>1</v>
      </c>
      <c r="N493" s="35"/>
    </row>
    <row r="494" ht="26" spans="1:14">
      <c r="A494" s="27"/>
      <c r="B494" s="37"/>
      <c r="C494" s="24" t="s">
        <v>2278</v>
      </c>
      <c r="D494" s="24" t="s">
        <v>2278</v>
      </c>
      <c r="E494" s="23" t="s">
        <v>524</v>
      </c>
      <c r="F494" s="23" t="s">
        <v>2279</v>
      </c>
      <c r="G494" s="23" t="s">
        <v>822</v>
      </c>
      <c r="H494" s="23" t="s">
        <v>2280</v>
      </c>
      <c r="I494" s="23" t="s">
        <v>22</v>
      </c>
      <c r="J494" s="23" t="s">
        <v>2281</v>
      </c>
      <c r="K494" s="23" t="s">
        <v>2282</v>
      </c>
      <c r="L494" s="24" t="s">
        <v>15</v>
      </c>
      <c r="M494" s="26">
        <f t="shared" si="21"/>
        <v>1</v>
      </c>
      <c r="N494" s="35"/>
    </row>
    <row r="495" ht="39" spans="1:14">
      <c r="A495" s="27"/>
      <c r="B495" s="37"/>
      <c r="C495" s="24"/>
      <c r="D495" s="24"/>
      <c r="E495" s="23" t="s">
        <v>524</v>
      </c>
      <c r="F495" s="23" t="s">
        <v>2279</v>
      </c>
      <c r="G495" s="23" t="s">
        <v>2283</v>
      </c>
      <c r="H495" s="23" t="s">
        <v>2284</v>
      </c>
      <c r="I495" s="23" t="s">
        <v>26</v>
      </c>
      <c r="J495" s="23" t="s">
        <v>2285</v>
      </c>
      <c r="K495" s="23" t="s">
        <v>2286</v>
      </c>
      <c r="L495" s="24" t="s">
        <v>15</v>
      </c>
      <c r="M495" s="26">
        <f t="shared" si="21"/>
        <v>1</v>
      </c>
      <c r="N495" s="35"/>
    </row>
    <row r="496" ht="26" spans="1:14">
      <c r="A496" s="27"/>
      <c r="B496" s="37"/>
      <c r="C496" s="24"/>
      <c r="D496" s="24"/>
      <c r="E496" s="23" t="s">
        <v>524</v>
      </c>
      <c r="F496" s="23" t="s">
        <v>2279</v>
      </c>
      <c r="G496" s="23" t="s">
        <v>2287</v>
      </c>
      <c r="H496" s="23" t="s">
        <v>2288</v>
      </c>
      <c r="I496" s="23" t="s">
        <v>28</v>
      </c>
      <c r="J496" s="23" t="s">
        <v>2289</v>
      </c>
      <c r="K496" s="23" t="s">
        <v>2290</v>
      </c>
      <c r="L496" s="24" t="s">
        <v>15</v>
      </c>
      <c r="M496" s="26">
        <f t="shared" si="21"/>
        <v>1</v>
      </c>
      <c r="N496" s="35"/>
    </row>
    <row r="497" ht="26" spans="1:14">
      <c r="A497" s="27"/>
      <c r="B497" s="37"/>
      <c r="C497" s="24"/>
      <c r="D497" s="24"/>
      <c r="E497" s="23" t="s">
        <v>524</v>
      </c>
      <c r="F497" s="23" t="s">
        <v>2279</v>
      </c>
      <c r="G497" s="23" t="s">
        <v>832</v>
      </c>
      <c r="H497" s="23" t="s">
        <v>2291</v>
      </c>
      <c r="I497" s="23" t="s">
        <v>24</v>
      </c>
      <c r="J497" s="23" t="s">
        <v>2292</v>
      </c>
      <c r="K497" s="23" t="s">
        <v>2293</v>
      </c>
      <c r="L497" s="24" t="s">
        <v>15</v>
      </c>
      <c r="M497" s="26">
        <f t="shared" si="21"/>
        <v>1</v>
      </c>
      <c r="N497" s="35"/>
    </row>
    <row r="498" ht="26" spans="1:14">
      <c r="A498" s="27"/>
      <c r="B498" s="37"/>
      <c r="C498" s="24" t="s">
        <v>2294</v>
      </c>
      <c r="D498" s="24" t="s">
        <v>2295</v>
      </c>
      <c r="E498" s="23" t="s">
        <v>524</v>
      </c>
      <c r="F498" s="23" t="s">
        <v>2296</v>
      </c>
      <c r="G498" s="23" t="s">
        <v>2297</v>
      </c>
      <c r="H498" s="23" t="s">
        <v>2298</v>
      </c>
      <c r="I498" s="23" t="s">
        <v>22</v>
      </c>
      <c r="J498" s="23" t="s">
        <v>2299</v>
      </c>
      <c r="K498" s="23" t="s">
        <v>2300</v>
      </c>
      <c r="L498" s="24" t="s">
        <v>15</v>
      </c>
      <c r="M498" s="26">
        <f t="shared" si="21"/>
        <v>1</v>
      </c>
      <c r="N498" s="35"/>
    </row>
    <row r="499" ht="26" spans="1:14">
      <c r="A499" s="27"/>
      <c r="B499" s="37"/>
      <c r="C499" s="24"/>
      <c r="D499" s="24"/>
      <c r="E499" s="23" t="s">
        <v>524</v>
      </c>
      <c r="F499" s="23" t="s">
        <v>2296</v>
      </c>
      <c r="G499" s="23" t="s">
        <v>2301</v>
      </c>
      <c r="H499" s="23" t="s">
        <v>2302</v>
      </c>
      <c r="I499" s="23" t="s">
        <v>26</v>
      </c>
      <c r="J499" s="23" t="s">
        <v>2303</v>
      </c>
      <c r="K499" s="23" t="s">
        <v>2304</v>
      </c>
      <c r="L499" s="24" t="s">
        <v>15</v>
      </c>
      <c r="M499" s="26">
        <f t="shared" si="21"/>
        <v>1</v>
      </c>
      <c r="N499" s="35"/>
    </row>
    <row r="500" ht="26" spans="1:14">
      <c r="A500" s="27"/>
      <c r="B500" s="37"/>
      <c r="C500" s="24"/>
      <c r="D500" s="24"/>
      <c r="E500" s="23" t="s">
        <v>524</v>
      </c>
      <c r="F500" s="23" t="s">
        <v>2296</v>
      </c>
      <c r="G500" s="23" t="s">
        <v>2305</v>
      </c>
      <c r="H500" s="23" t="s">
        <v>2306</v>
      </c>
      <c r="I500" s="23" t="s">
        <v>28</v>
      </c>
      <c r="J500" s="23" t="s">
        <v>2307</v>
      </c>
      <c r="K500" s="23" t="s">
        <v>2308</v>
      </c>
      <c r="L500" s="24" t="s">
        <v>15</v>
      </c>
      <c r="M500" s="26">
        <f t="shared" si="21"/>
        <v>1</v>
      </c>
      <c r="N500" s="35"/>
    </row>
    <row r="501" ht="26" spans="1:14">
      <c r="A501" s="27"/>
      <c r="B501" s="37"/>
      <c r="C501" s="24"/>
      <c r="D501" s="24"/>
      <c r="E501" s="23" t="s">
        <v>524</v>
      </c>
      <c r="F501" s="23" t="s">
        <v>2296</v>
      </c>
      <c r="G501" s="23" t="s">
        <v>2309</v>
      </c>
      <c r="H501" s="23" t="s">
        <v>2310</v>
      </c>
      <c r="I501" s="23" t="s">
        <v>24</v>
      </c>
      <c r="J501" s="23" t="s">
        <v>2311</v>
      </c>
      <c r="K501" s="23" t="s">
        <v>2312</v>
      </c>
      <c r="L501" s="24" t="s">
        <v>15</v>
      </c>
      <c r="M501" s="26">
        <f t="shared" ref="M501:M549" si="22">IF(L501="新增",1,IF(L501="复用",1/3,0))</f>
        <v>1</v>
      </c>
      <c r="N501" s="35"/>
    </row>
    <row r="502" ht="26" spans="1:14">
      <c r="A502" s="27"/>
      <c r="B502" s="37"/>
      <c r="C502" s="22" t="s">
        <v>2313</v>
      </c>
      <c r="D502" s="22" t="s">
        <v>2314</v>
      </c>
      <c r="E502" s="23" t="s">
        <v>524</v>
      </c>
      <c r="F502" s="23" t="s">
        <v>2296</v>
      </c>
      <c r="G502" s="23" t="s">
        <v>2315</v>
      </c>
      <c r="H502" s="23" t="s">
        <v>2316</v>
      </c>
      <c r="I502" s="23" t="s">
        <v>22</v>
      </c>
      <c r="J502" s="23" t="s">
        <v>2317</v>
      </c>
      <c r="K502" s="23" t="s">
        <v>2318</v>
      </c>
      <c r="L502" s="24" t="s">
        <v>15</v>
      </c>
      <c r="M502" s="26">
        <f t="shared" si="22"/>
        <v>1</v>
      </c>
    </row>
    <row r="503" ht="39" spans="1:14">
      <c r="A503" s="27"/>
      <c r="B503" s="37"/>
      <c r="C503" s="28"/>
      <c r="D503" s="28"/>
      <c r="E503" s="23" t="s">
        <v>524</v>
      </c>
      <c r="F503" s="23" t="s">
        <v>2296</v>
      </c>
      <c r="G503" s="23" t="s">
        <v>2319</v>
      </c>
      <c r="H503" s="23" t="s">
        <v>2320</v>
      </c>
      <c r="I503" s="23" t="s">
        <v>26</v>
      </c>
      <c r="J503" s="23" t="s">
        <v>2321</v>
      </c>
      <c r="K503" s="23" t="s">
        <v>2322</v>
      </c>
      <c r="L503" s="24" t="s">
        <v>15</v>
      </c>
      <c r="M503" s="26">
        <f t="shared" si="22"/>
        <v>1</v>
      </c>
      <c r="N503" s="35"/>
    </row>
    <row r="504" ht="26" spans="1:14">
      <c r="A504" s="27"/>
      <c r="B504" s="37"/>
      <c r="C504" s="28"/>
      <c r="D504" s="28"/>
      <c r="E504" s="23" t="s">
        <v>524</v>
      </c>
      <c r="F504" s="23" t="s">
        <v>2296</v>
      </c>
      <c r="G504" s="23" t="s">
        <v>2323</v>
      </c>
      <c r="H504" s="23" t="s">
        <v>2324</v>
      </c>
      <c r="I504" s="23" t="s">
        <v>28</v>
      </c>
      <c r="J504" s="23" t="s">
        <v>2325</v>
      </c>
      <c r="K504" s="23" t="s">
        <v>2326</v>
      </c>
      <c r="L504" s="24" t="s">
        <v>15</v>
      </c>
      <c r="M504" s="26">
        <f t="shared" si="22"/>
        <v>1</v>
      </c>
      <c r="N504" s="35"/>
    </row>
    <row r="505" ht="26" spans="1:14">
      <c r="A505" s="27"/>
      <c r="B505" s="37"/>
      <c r="C505" s="29"/>
      <c r="D505" s="29"/>
      <c r="E505" s="23" t="s">
        <v>524</v>
      </c>
      <c r="F505" s="23" t="s">
        <v>2296</v>
      </c>
      <c r="G505" s="23" t="s">
        <v>2327</v>
      </c>
      <c r="H505" s="23" t="s">
        <v>2328</v>
      </c>
      <c r="I505" s="23" t="s">
        <v>24</v>
      </c>
      <c r="J505" s="23" t="s">
        <v>2329</v>
      </c>
      <c r="K505" s="23" t="s">
        <v>2330</v>
      </c>
      <c r="L505" s="24" t="s">
        <v>15</v>
      </c>
      <c r="M505" s="26">
        <f t="shared" si="22"/>
        <v>1</v>
      </c>
      <c r="N505" s="35"/>
    </row>
    <row r="506" ht="26" spans="1:14">
      <c r="A506" s="27"/>
      <c r="B506" s="37"/>
      <c r="C506" s="22" t="s">
        <v>2331</v>
      </c>
      <c r="D506" s="22" t="s">
        <v>2332</v>
      </c>
      <c r="E506" s="23" t="s">
        <v>524</v>
      </c>
      <c r="F506" s="23" t="s">
        <v>2333</v>
      </c>
      <c r="G506" s="23" t="s">
        <v>2334</v>
      </c>
      <c r="H506" s="23" t="s">
        <v>2335</v>
      </c>
      <c r="I506" s="23" t="s">
        <v>22</v>
      </c>
      <c r="J506" s="23" t="s">
        <v>2336</v>
      </c>
      <c r="K506" s="23" t="s">
        <v>2337</v>
      </c>
      <c r="L506" s="24" t="s">
        <v>15</v>
      </c>
      <c r="M506" s="26">
        <f t="shared" si="22"/>
        <v>1</v>
      </c>
      <c r="N506" s="35"/>
    </row>
    <row r="507" ht="39" spans="1:14">
      <c r="A507" s="27"/>
      <c r="B507" s="37"/>
      <c r="C507" s="28"/>
      <c r="D507" s="28"/>
      <c r="E507" s="23" t="s">
        <v>524</v>
      </c>
      <c r="F507" s="23" t="s">
        <v>2333</v>
      </c>
      <c r="G507" s="23" t="s">
        <v>2338</v>
      </c>
      <c r="H507" s="23" t="s">
        <v>2339</v>
      </c>
      <c r="I507" s="23" t="s">
        <v>26</v>
      </c>
      <c r="J507" s="23" t="s">
        <v>2340</v>
      </c>
      <c r="K507" s="23" t="s">
        <v>2341</v>
      </c>
      <c r="L507" s="24" t="s">
        <v>15</v>
      </c>
      <c r="M507" s="26">
        <f t="shared" si="22"/>
        <v>1</v>
      </c>
      <c r="N507" s="35"/>
    </row>
    <row r="508" ht="26" spans="1:14">
      <c r="A508" s="27"/>
      <c r="B508" s="37"/>
      <c r="C508" s="28"/>
      <c r="D508" s="28"/>
      <c r="E508" s="23" t="s">
        <v>524</v>
      </c>
      <c r="F508" s="23" t="s">
        <v>2333</v>
      </c>
      <c r="G508" s="23" t="s">
        <v>2342</v>
      </c>
      <c r="H508" s="23" t="s">
        <v>2343</v>
      </c>
      <c r="I508" s="23" t="s">
        <v>28</v>
      </c>
      <c r="J508" s="23" t="s">
        <v>2344</v>
      </c>
      <c r="K508" s="23" t="s">
        <v>2345</v>
      </c>
      <c r="L508" s="24" t="s">
        <v>15</v>
      </c>
      <c r="M508" s="26">
        <f t="shared" si="22"/>
        <v>1</v>
      </c>
      <c r="N508" s="35"/>
    </row>
    <row r="509" ht="26" spans="1:14">
      <c r="A509" s="27"/>
      <c r="B509" s="37"/>
      <c r="C509" s="29"/>
      <c r="D509" s="29"/>
      <c r="E509" s="23" t="s">
        <v>524</v>
      </c>
      <c r="F509" s="23" t="s">
        <v>2333</v>
      </c>
      <c r="G509" s="23" t="s">
        <v>2346</v>
      </c>
      <c r="H509" s="23" t="s">
        <v>2347</v>
      </c>
      <c r="I509" s="23" t="s">
        <v>24</v>
      </c>
      <c r="J509" s="23" t="s">
        <v>2348</v>
      </c>
      <c r="K509" s="23" t="s">
        <v>2349</v>
      </c>
      <c r="L509" s="24" t="s">
        <v>15</v>
      </c>
      <c r="M509" s="26">
        <f t="shared" si="22"/>
        <v>1</v>
      </c>
      <c r="N509" s="35"/>
    </row>
    <row r="510" ht="26" spans="1:14">
      <c r="A510" s="27"/>
      <c r="B510" s="37"/>
      <c r="C510" s="22" t="s">
        <v>1084</v>
      </c>
      <c r="D510" s="22" t="s">
        <v>2350</v>
      </c>
      <c r="E510" s="23" t="s">
        <v>524</v>
      </c>
      <c r="F510" s="23" t="s">
        <v>2351</v>
      </c>
      <c r="G510" s="23" t="s">
        <v>2352</v>
      </c>
      <c r="H510" s="23" t="s">
        <v>2353</v>
      </c>
      <c r="I510" s="23" t="s">
        <v>22</v>
      </c>
      <c r="J510" s="23" t="s">
        <v>2354</v>
      </c>
      <c r="K510" s="23" t="s">
        <v>2355</v>
      </c>
      <c r="L510" s="24" t="s">
        <v>15</v>
      </c>
      <c r="M510" s="26">
        <f t="shared" si="22"/>
        <v>1</v>
      </c>
      <c r="N510" s="35"/>
    </row>
    <row r="511" ht="39" spans="1:14">
      <c r="A511" s="27"/>
      <c r="B511" s="37"/>
      <c r="C511" s="28"/>
      <c r="D511" s="28"/>
      <c r="E511" s="23" t="s">
        <v>524</v>
      </c>
      <c r="F511" s="23" t="s">
        <v>2351</v>
      </c>
      <c r="G511" s="23" t="s">
        <v>1090</v>
      </c>
      <c r="H511" s="23" t="s">
        <v>2356</v>
      </c>
      <c r="I511" s="23" t="s">
        <v>26</v>
      </c>
      <c r="J511" s="23" t="s">
        <v>1092</v>
      </c>
      <c r="K511" s="23" t="s">
        <v>2357</v>
      </c>
      <c r="L511" s="24" t="s">
        <v>15</v>
      </c>
      <c r="M511" s="26">
        <f t="shared" si="22"/>
        <v>1</v>
      </c>
      <c r="N511" s="35"/>
    </row>
    <row r="512" ht="26" spans="1:14">
      <c r="A512" s="27"/>
      <c r="B512" s="37"/>
      <c r="C512" s="28"/>
      <c r="D512" s="28"/>
      <c r="E512" s="23" t="s">
        <v>524</v>
      </c>
      <c r="F512" s="23" t="s">
        <v>2351</v>
      </c>
      <c r="G512" s="23" t="s">
        <v>2358</v>
      </c>
      <c r="H512" s="23" t="s">
        <v>2359</v>
      </c>
      <c r="I512" s="23" t="s">
        <v>28</v>
      </c>
      <c r="J512" s="23" t="s">
        <v>2360</v>
      </c>
      <c r="K512" s="23" t="s">
        <v>2361</v>
      </c>
      <c r="L512" s="24" t="s">
        <v>15</v>
      </c>
      <c r="M512" s="26">
        <f t="shared" si="22"/>
        <v>1</v>
      </c>
      <c r="N512" s="35"/>
    </row>
    <row r="513" ht="26" spans="1:13">
      <c r="A513" s="27"/>
      <c r="B513" s="37"/>
      <c r="C513" s="29"/>
      <c r="D513" s="29"/>
      <c r="E513" s="23" t="s">
        <v>524</v>
      </c>
      <c r="F513" s="23" t="s">
        <v>2351</v>
      </c>
      <c r="G513" s="23" t="s">
        <v>2362</v>
      </c>
      <c r="H513" s="23" t="s">
        <v>2363</v>
      </c>
      <c r="I513" s="23" t="s">
        <v>24</v>
      </c>
      <c r="J513" s="23" t="s">
        <v>2364</v>
      </c>
      <c r="K513" s="23" t="s">
        <v>2365</v>
      </c>
      <c r="L513" s="24" t="s">
        <v>15</v>
      </c>
      <c r="M513" s="26">
        <f t="shared" si="22"/>
        <v>1</v>
      </c>
    </row>
    <row r="514" ht="26" spans="1:13">
      <c r="A514" s="27"/>
      <c r="B514" s="37"/>
      <c r="C514" s="22" t="s">
        <v>2366</v>
      </c>
      <c r="D514" s="22" t="s">
        <v>2366</v>
      </c>
      <c r="E514" s="23" t="s">
        <v>524</v>
      </c>
      <c r="F514" s="23" t="s">
        <v>2367</v>
      </c>
      <c r="G514" s="23" t="s">
        <v>1368</v>
      </c>
      <c r="H514" s="23" t="s">
        <v>2368</v>
      </c>
      <c r="I514" s="23" t="s">
        <v>22</v>
      </c>
      <c r="J514" s="23" t="s">
        <v>2369</v>
      </c>
      <c r="K514" s="23" t="s">
        <v>2370</v>
      </c>
      <c r="L514" s="24" t="s">
        <v>15</v>
      </c>
      <c r="M514" s="26">
        <f t="shared" si="22"/>
        <v>1</v>
      </c>
    </row>
    <row r="515" ht="39" spans="1:13">
      <c r="A515" s="27"/>
      <c r="B515" s="37"/>
      <c r="C515" s="28"/>
      <c r="D515" s="28"/>
      <c r="E515" s="23" t="s">
        <v>524</v>
      </c>
      <c r="F515" s="23" t="s">
        <v>2367</v>
      </c>
      <c r="G515" s="23" t="s">
        <v>2371</v>
      </c>
      <c r="H515" s="23" t="s">
        <v>2372</v>
      </c>
      <c r="I515" s="23" t="s">
        <v>26</v>
      </c>
      <c r="J515" s="23" t="s">
        <v>2373</v>
      </c>
      <c r="K515" s="23" t="s">
        <v>2374</v>
      </c>
      <c r="L515" s="24" t="s">
        <v>15</v>
      </c>
      <c r="M515" s="26">
        <f t="shared" si="22"/>
        <v>1</v>
      </c>
    </row>
    <row r="516" ht="26" spans="1:13">
      <c r="A516" s="27"/>
      <c r="B516" s="37"/>
      <c r="C516" s="28"/>
      <c r="D516" s="28"/>
      <c r="E516" s="23" t="s">
        <v>524</v>
      </c>
      <c r="F516" s="23" t="s">
        <v>2367</v>
      </c>
      <c r="G516" s="23" t="s">
        <v>2375</v>
      </c>
      <c r="H516" s="23" t="s">
        <v>2376</v>
      </c>
      <c r="I516" s="23" t="s">
        <v>28</v>
      </c>
      <c r="J516" s="23" t="s">
        <v>2377</v>
      </c>
      <c r="K516" s="23" t="s">
        <v>2378</v>
      </c>
      <c r="L516" s="24" t="s">
        <v>15</v>
      </c>
      <c r="M516" s="26">
        <f t="shared" si="22"/>
        <v>1</v>
      </c>
    </row>
    <row r="517" ht="26" spans="1:13">
      <c r="A517" s="27"/>
      <c r="B517" s="37"/>
      <c r="C517" s="29"/>
      <c r="D517" s="29"/>
      <c r="E517" s="23" t="s">
        <v>524</v>
      </c>
      <c r="F517" s="23" t="s">
        <v>2367</v>
      </c>
      <c r="G517" s="23" t="s">
        <v>1380</v>
      </c>
      <c r="H517" s="23" t="s">
        <v>2379</v>
      </c>
      <c r="I517" s="23" t="s">
        <v>24</v>
      </c>
      <c r="J517" s="23" t="s">
        <v>2380</v>
      </c>
      <c r="K517" s="23" t="s">
        <v>2381</v>
      </c>
      <c r="L517" s="24" t="s">
        <v>15</v>
      </c>
      <c r="M517" s="26">
        <f t="shared" si="22"/>
        <v>1</v>
      </c>
    </row>
    <row r="518" ht="26" spans="1:13">
      <c r="A518" s="27"/>
      <c r="B518" s="37"/>
      <c r="C518" s="22" t="s">
        <v>2382</v>
      </c>
      <c r="D518" s="22" t="s">
        <v>2383</v>
      </c>
      <c r="E518" s="23" t="s">
        <v>524</v>
      </c>
      <c r="F518" s="23" t="s">
        <v>2384</v>
      </c>
      <c r="G518" s="23" t="s">
        <v>2385</v>
      </c>
      <c r="H518" s="23" t="s">
        <v>2386</v>
      </c>
      <c r="I518" s="23" t="s">
        <v>22</v>
      </c>
      <c r="J518" s="23" t="s">
        <v>2387</v>
      </c>
      <c r="K518" s="23" t="s">
        <v>2388</v>
      </c>
      <c r="L518" s="24" t="s">
        <v>15</v>
      </c>
      <c r="M518" s="26">
        <f t="shared" si="22"/>
        <v>1</v>
      </c>
    </row>
    <row r="519" ht="39" spans="1:13">
      <c r="A519" s="27"/>
      <c r="B519" s="37"/>
      <c r="C519" s="28"/>
      <c r="D519" s="28"/>
      <c r="E519" s="23" t="s">
        <v>524</v>
      </c>
      <c r="F519" s="23" t="s">
        <v>2384</v>
      </c>
      <c r="G519" s="23" t="s">
        <v>2389</v>
      </c>
      <c r="H519" s="23" t="s">
        <v>2390</v>
      </c>
      <c r="I519" s="23" t="s">
        <v>26</v>
      </c>
      <c r="J519" s="23" t="s">
        <v>2391</v>
      </c>
      <c r="K519" s="23" t="s">
        <v>2392</v>
      </c>
      <c r="L519" s="24" t="s">
        <v>15</v>
      </c>
      <c r="M519" s="26">
        <f t="shared" si="22"/>
        <v>1</v>
      </c>
    </row>
    <row r="520" ht="26" spans="1:13">
      <c r="A520" s="27"/>
      <c r="B520" s="37"/>
      <c r="C520" s="28"/>
      <c r="D520" s="28"/>
      <c r="E520" s="23" t="s">
        <v>524</v>
      </c>
      <c r="F520" s="23" t="s">
        <v>2384</v>
      </c>
      <c r="G520" s="23" t="s">
        <v>2393</v>
      </c>
      <c r="H520" s="23" t="s">
        <v>2394</v>
      </c>
      <c r="I520" s="23" t="s">
        <v>28</v>
      </c>
      <c r="J520" s="23" t="s">
        <v>2395</v>
      </c>
      <c r="K520" s="23" t="s">
        <v>2396</v>
      </c>
      <c r="L520" s="24" t="s">
        <v>15</v>
      </c>
      <c r="M520" s="26">
        <f t="shared" si="22"/>
        <v>1</v>
      </c>
    </row>
    <row r="521" ht="26" spans="1:13">
      <c r="A521" s="27"/>
      <c r="B521" s="37"/>
      <c r="C521" s="28"/>
      <c r="D521" s="29"/>
      <c r="E521" s="23" t="s">
        <v>524</v>
      </c>
      <c r="F521" s="23" t="s">
        <v>2384</v>
      </c>
      <c r="G521" s="23" t="s">
        <v>2397</v>
      </c>
      <c r="H521" s="23" t="s">
        <v>2398</v>
      </c>
      <c r="I521" s="23" t="s">
        <v>24</v>
      </c>
      <c r="J521" s="23" t="s">
        <v>2399</v>
      </c>
      <c r="K521" s="23" t="s">
        <v>2400</v>
      </c>
      <c r="L521" s="24" t="s">
        <v>15</v>
      </c>
      <c r="M521" s="26">
        <f t="shared" si="22"/>
        <v>1</v>
      </c>
    </row>
    <row r="522" ht="26" spans="1:13">
      <c r="A522" s="27"/>
      <c r="B522" s="37"/>
      <c r="C522" s="28"/>
      <c r="D522" s="22" t="s">
        <v>2401</v>
      </c>
      <c r="E522" s="23" t="s">
        <v>524</v>
      </c>
      <c r="F522" s="23" t="s">
        <v>2402</v>
      </c>
      <c r="G522" s="23" t="s">
        <v>2403</v>
      </c>
      <c r="H522" s="23" t="s">
        <v>2404</v>
      </c>
      <c r="I522" s="23" t="s">
        <v>22</v>
      </c>
      <c r="J522" s="23" t="s">
        <v>2405</v>
      </c>
      <c r="K522" s="23" t="s">
        <v>2406</v>
      </c>
      <c r="L522" s="24" t="s">
        <v>15</v>
      </c>
      <c r="M522" s="26">
        <f t="shared" si="22"/>
        <v>1</v>
      </c>
    </row>
    <row r="523" ht="39" spans="1:13">
      <c r="A523" s="27"/>
      <c r="B523" s="37"/>
      <c r="C523" s="28"/>
      <c r="D523" s="28"/>
      <c r="E523" s="23" t="s">
        <v>524</v>
      </c>
      <c r="F523" s="23" t="s">
        <v>2402</v>
      </c>
      <c r="G523" s="23" t="s">
        <v>2407</v>
      </c>
      <c r="H523" s="23" t="s">
        <v>2408</v>
      </c>
      <c r="I523" s="23" t="s">
        <v>26</v>
      </c>
      <c r="J523" s="23" t="s">
        <v>280</v>
      </c>
      <c r="K523" s="23" t="s">
        <v>2409</v>
      </c>
      <c r="L523" s="24" t="s">
        <v>15</v>
      </c>
      <c r="M523" s="26">
        <f t="shared" si="22"/>
        <v>1</v>
      </c>
    </row>
    <row r="524" ht="26" spans="1:13">
      <c r="A524" s="27"/>
      <c r="B524" s="37"/>
      <c r="C524" s="28"/>
      <c r="D524" s="28"/>
      <c r="E524" s="23" t="s">
        <v>524</v>
      </c>
      <c r="F524" s="23" t="s">
        <v>2402</v>
      </c>
      <c r="G524" s="23" t="s">
        <v>2410</v>
      </c>
      <c r="H524" s="23" t="s">
        <v>2411</v>
      </c>
      <c r="I524" s="23" t="s">
        <v>28</v>
      </c>
      <c r="J524" s="23" t="s">
        <v>2412</v>
      </c>
      <c r="K524" s="23" t="s">
        <v>2413</v>
      </c>
      <c r="L524" s="24" t="s">
        <v>15</v>
      </c>
      <c r="M524" s="26">
        <f t="shared" si="22"/>
        <v>1</v>
      </c>
    </row>
    <row r="525" ht="26" spans="1:13">
      <c r="A525" s="27"/>
      <c r="B525" s="37"/>
      <c r="C525" s="29"/>
      <c r="D525" s="29"/>
      <c r="E525" s="23" t="s">
        <v>524</v>
      </c>
      <c r="F525" s="23" t="s">
        <v>2402</v>
      </c>
      <c r="G525" s="23" t="s">
        <v>2414</v>
      </c>
      <c r="H525" s="23" t="s">
        <v>2415</v>
      </c>
      <c r="I525" s="23" t="s">
        <v>24</v>
      </c>
      <c r="J525" s="23" t="s">
        <v>2416</v>
      </c>
      <c r="K525" s="23" t="s">
        <v>2417</v>
      </c>
      <c r="L525" s="24" t="s">
        <v>15</v>
      </c>
      <c r="M525" s="26">
        <f t="shared" si="22"/>
        <v>1</v>
      </c>
    </row>
    <row r="526" ht="26" spans="1:13">
      <c r="A526" s="27"/>
      <c r="B526" s="37"/>
      <c r="C526" s="22" t="s">
        <v>2418</v>
      </c>
      <c r="D526" s="22" t="s">
        <v>2419</v>
      </c>
      <c r="E526" s="23" t="s">
        <v>524</v>
      </c>
      <c r="F526" s="23" t="s">
        <v>2420</v>
      </c>
      <c r="G526" s="23" t="s">
        <v>2421</v>
      </c>
      <c r="H526" s="23" t="s">
        <v>2422</v>
      </c>
      <c r="I526" s="23" t="s">
        <v>22</v>
      </c>
      <c r="J526" s="23" t="s">
        <v>2423</v>
      </c>
      <c r="K526" s="23" t="s">
        <v>2424</v>
      </c>
      <c r="L526" s="24" t="s">
        <v>15</v>
      </c>
      <c r="M526" s="26">
        <f t="shared" si="22"/>
        <v>1</v>
      </c>
    </row>
    <row r="527" ht="39" spans="1:13">
      <c r="A527" s="27"/>
      <c r="B527" s="37"/>
      <c r="C527" s="28"/>
      <c r="D527" s="28"/>
      <c r="E527" s="23" t="s">
        <v>524</v>
      </c>
      <c r="F527" s="23" t="s">
        <v>2420</v>
      </c>
      <c r="G527" s="23" t="s">
        <v>2425</v>
      </c>
      <c r="H527" s="23" t="s">
        <v>2426</v>
      </c>
      <c r="I527" s="23" t="s">
        <v>26</v>
      </c>
      <c r="J527" s="23" t="s">
        <v>2427</v>
      </c>
      <c r="K527" s="23" t="s">
        <v>2428</v>
      </c>
      <c r="L527" s="24" t="s">
        <v>15</v>
      </c>
      <c r="M527" s="26">
        <f t="shared" si="22"/>
        <v>1</v>
      </c>
    </row>
    <row r="528" ht="26" spans="1:13">
      <c r="A528" s="27"/>
      <c r="B528" s="37"/>
      <c r="C528" s="28"/>
      <c r="D528" s="28"/>
      <c r="E528" s="23" t="s">
        <v>524</v>
      </c>
      <c r="F528" s="23" t="s">
        <v>2420</v>
      </c>
      <c r="G528" s="23" t="s">
        <v>2429</v>
      </c>
      <c r="H528" s="23" t="s">
        <v>2430</v>
      </c>
      <c r="I528" s="23" t="s">
        <v>28</v>
      </c>
      <c r="J528" s="23" t="s">
        <v>2431</v>
      </c>
      <c r="K528" s="23" t="s">
        <v>2432</v>
      </c>
      <c r="L528" s="24" t="s">
        <v>15</v>
      </c>
      <c r="M528" s="26">
        <f t="shared" si="22"/>
        <v>1</v>
      </c>
    </row>
    <row r="529" ht="26" spans="1:13">
      <c r="A529" s="27"/>
      <c r="B529" s="37"/>
      <c r="C529" s="29"/>
      <c r="D529" s="29"/>
      <c r="E529" s="23" t="s">
        <v>524</v>
      </c>
      <c r="F529" s="23" t="s">
        <v>2420</v>
      </c>
      <c r="G529" s="23" t="s">
        <v>2433</v>
      </c>
      <c r="H529" s="23" t="s">
        <v>2434</v>
      </c>
      <c r="I529" s="23" t="s">
        <v>24</v>
      </c>
      <c r="J529" s="23" t="s">
        <v>2435</v>
      </c>
      <c r="K529" s="23" t="s">
        <v>2436</v>
      </c>
      <c r="L529" s="24" t="s">
        <v>15</v>
      </c>
      <c r="M529" s="26">
        <f t="shared" si="22"/>
        <v>1</v>
      </c>
    </row>
    <row r="530" ht="26" spans="1:13">
      <c r="A530" s="27"/>
      <c r="B530" s="37"/>
      <c r="C530" s="22" t="s">
        <v>2437</v>
      </c>
      <c r="D530" s="22" t="s">
        <v>2438</v>
      </c>
      <c r="E530" s="23" t="s">
        <v>524</v>
      </c>
      <c r="F530" s="23" t="s">
        <v>2439</v>
      </c>
      <c r="G530" s="23" t="s">
        <v>2440</v>
      </c>
      <c r="H530" s="23" t="s">
        <v>2441</v>
      </c>
      <c r="I530" s="23" t="s">
        <v>22</v>
      </c>
      <c r="J530" s="23" t="s">
        <v>2442</v>
      </c>
      <c r="K530" s="23" t="s">
        <v>2443</v>
      </c>
      <c r="L530" s="24" t="s">
        <v>15</v>
      </c>
      <c r="M530" s="26">
        <f t="shared" si="22"/>
        <v>1</v>
      </c>
    </row>
    <row r="531" ht="39" spans="1:13">
      <c r="A531" s="27"/>
      <c r="B531" s="37"/>
      <c r="C531" s="28"/>
      <c r="D531" s="28"/>
      <c r="E531" s="23" t="s">
        <v>524</v>
      </c>
      <c r="F531" s="23" t="s">
        <v>2439</v>
      </c>
      <c r="G531" s="23" t="s">
        <v>2444</v>
      </c>
      <c r="H531" s="23" t="s">
        <v>2445</v>
      </c>
      <c r="I531" s="23" t="s">
        <v>26</v>
      </c>
      <c r="J531" s="23" t="s">
        <v>2446</v>
      </c>
      <c r="K531" s="23" t="s">
        <v>2447</v>
      </c>
      <c r="L531" s="24" t="s">
        <v>15</v>
      </c>
      <c r="M531" s="26">
        <f t="shared" si="22"/>
        <v>1</v>
      </c>
    </row>
    <row r="532" ht="26" spans="1:13">
      <c r="A532" s="27"/>
      <c r="B532" s="37"/>
      <c r="C532" s="28"/>
      <c r="D532" s="28"/>
      <c r="E532" s="23" t="s">
        <v>524</v>
      </c>
      <c r="F532" s="23" t="s">
        <v>2439</v>
      </c>
      <c r="G532" s="23" t="s">
        <v>2448</v>
      </c>
      <c r="H532" s="23" t="s">
        <v>2449</v>
      </c>
      <c r="I532" s="23" t="s">
        <v>28</v>
      </c>
      <c r="J532" s="23" t="s">
        <v>2450</v>
      </c>
      <c r="K532" s="23" t="s">
        <v>2451</v>
      </c>
      <c r="L532" s="24" t="s">
        <v>15</v>
      </c>
      <c r="M532" s="26">
        <f t="shared" si="22"/>
        <v>1</v>
      </c>
    </row>
    <row r="533" ht="26" spans="1:13">
      <c r="A533" s="27"/>
      <c r="B533" s="37"/>
      <c r="C533" s="29"/>
      <c r="D533" s="29"/>
      <c r="E533" s="23" t="s">
        <v>524</v>
      </c>
      <c r="F533" s="23" t="s">
        <v>2439</v>
      </c>
      <c r="G533" s="23" t="s">
        <v>2452</v>
      </c>
      <c r="H533" s="23" t="s">
        <v>2453</v>
      </c>
      <c r="I533" s="23" t="s">
        <v>24</v>
      </c>
      <c r="J533" s="23" t="s">
        <v>2454</v>
      </c>
      <c r="K533" s="23" t="s">
        <v>2455</v>
      </c>
      <c r="L533" s="24" t="s">
        <v>15</v>
      </c>
      <c r="M533" s="26">
        <f t="shared" si="22"/>
        <v>1</v>
      </c>
    </row>
    <row r="534" ht="26" spans="1:13">
      <c r="A534" s="27"/>
      <c r="B534" s="37"/>
      <c r="C534" s="22" t="s">
        <v>2456</v>
      </c>
      <c r="D534" s="22" t="s">
        <v>2457</v>
      </c>
      <c r="E534" s="23" t="s">
        <v>524</v>
      </c>
      <c r="F534" s="23" t="s">
        <v>2458</v>
      </c>
      <c r="G534" s="23" t="s">
        <v>2459</v>
      </c>
      <c r="H534" s="23" t="s">
        <v>2460</v>
      </c>
      <c r="I534" s="23" t="s">
        <v>22</v>
      </c>
      <c r="J534" s="23" t="s">
        <v>2461</v>
      </c>
      <c r="K534" s="23" t="s">
        <v>2462</v>
      </c>
      <c r="L534" s="24" t="s">
        <v>15</v>
      </c>
      <c r="M534" s="26">
        <f t="shared" si="22"/>
        <v>1</v>
      </c>
    </row>
    <row r="535" ht="39" spans="1:13">
      <c r="A535" s="27"/>
      <c r="B535" s="37"/>
      <c r="C535" s="28"/>
      <c r="D535" s="28"/>
      <c r="E535" s="23" t="s">
        <v>524</v>
      </c>
      <c r="F535" s="23" t="s">
        <v>2458</v>
      </c>
      <c r="G535" s="23" t="s">
        <v>714</v>
      </c>
      <c r="H535" s="23" t="s">
        <v>2463</v>
      </c>
      <c r="I535" s="23" t="s">
        <v>26</v>
      </c>
      <c r="J535" s="23" t="s">
        <v>2464</v>
      </c>
      <c r="K535" s="23" t="s">
        <v>2465</v>
      </c>
      <c r="L535" s="24" t="s">
        <v>15</v>
      </c>
      <c r="M535" s="26">
        <f t="shared" si="22"/>
        <v>1</v>
      </c>
    </row>
    <row r="536" ht="26" spans="1:13">
      <c r="A536" s="27"/>
      <c r="B536" s="37"/>
      <c r="C536" s="28"/>
      <c r="D536" s="28"/>
      <c r="E536" s="23" t="s">
        <v>524</v>
      </c>
      <c r="F536" s="23" t="s">
        <v>2458</v>
      </c>
      <c r="G536" s="23" t="s">
        <v>2466</v>
      </c>
      <c r="H536" s="23" t="s">
        <v>2467</v>
      </c>
      <c r="I536" s="23" t="s">
        <v>28</v>
      </c>
      <c r="J536" s="23" t="s">
        <v>2468</v>
      </c>
      <c r="K536" s="23" t="s">
        <v>2469</v>
      </c>
      <c r="L536" s="24" t="s">
        <v>15</v>
      </c>
      <c r="M536" s="26">
        <f t="shared" si="22"/>
        <v>1</v>
      </c>
    </row>
    <row r="537" ht="26" spans="1:13">
      <c r="A537" s="27"/>
      <c r="B537" s="37"/>
      <c r="C537" s="29"/>
      <c r="D537" s="29"/>
      <c r="E537" s="23" t="s">
        <v>524</v>
      </c>
      <c r="F537" s="23" t="s">
        <v>2458</v>
      </c>
      <c r="G537" s="23" t="s">
        <v>2470</v>
      </c>
      <c r="H537" s="23" t="s">
        <v>2471</v>
      </c>
      <c r="I537" s="23" t="s">
        <v>24</v>
      </c>
      <c r="J537" s="23" t="s">
        <v>2472</v>
      </c>
      <c r="K537" s="23" t="s">
        <v>2473</v>
      </c>
      <c r="L537" s="24" t="s">
        <v>15</v>
      </c>
      <c r="M537" s="26">
        <f t="shared" si="22"/>
        <v>1</v>
      </c>
    </row>
    <row r="538" ht="26" spans="1:13">
      <c r="A538" s="27"/>
      <c r="B538" s="37"/>
      <c r="C538" s="22" t="s">
        <v>2474</v>
      </c>
      <c r="D538" s="22" t="s">
        <v>2475</v>
      </c>
      <c r="E538" s="23" t="s">
        <v>524</v>
      </c>
      <c r="F538" s="23" t="s">
        <v>2476</v>
      </c>
      <c r="G538" s="23" t="s">
        <v>2477</v>
      </c>
      <c r="H538" s="23" t="s">
        <v>2478</v>
      </c>
      <c r="I538" s="23" t="s">
        <v>22</v>
      </c>
      <c r="J538" s="23" t="s">
        <v>2479</v>
      </c>
      <c r="K538" s="23" t="s">
        <v>2480</v>
      </c>
      <c r="L538" s="24" t="s">
        <v>15</v>
      </c>
      <c r="M538" s="26">
        <f t="shared" si="22"/>
        <v>1</v>
      </c>
    </row>
    <row r="539" ht="39" spans="1:13">
      <c r="A539" s="27"/>
      <c r="B539" s="37"/>
      <c r="C539" s="28"/>
      <c r="D539" s="28"/>
      <c r="E539" s="23" t="s">
        <v>524</v>
      </c>
      <c r="F539" s="23" t="s">
        <v>2476</v>
      </c>
      <c r="G539" s="23" t="s">
        <v>2481</v>
      </c>
      <c r="H539" s="23" t="s">
        <v>2482</v>
      </c>
      <c r="I539" s="23" t="s">
        <v>26</v>
      </c>
      <c r="J539" s="23" t="s">
        <v>2483</v>
      </c>
      <c r="K539" s="23" t="s">
        <v>2484</v>
      </c>
      <c r="L539" s="24" t="s">
        <v>15</v>
      </c>
      <c r="M539" s="26">
        <f t="shared" si="22"/>
        <v>1</v>
      </c>
    </row>
    <row r="540" ht="26" spans="1:13">
      <c r="A540" s="27"/>
      <c r="B540" s="37"/>
      <c r="C540" s="28"/>
      <c r="D540" s="28"/>
      <c r="E540" s="23" t="s">
        <v>524</v>
      </c>
      <c r="F540" s="23" t="s">
        <v>2476</v>
      </c>
      <c r="G540" s="23" t="s">
        <v>2485</v>
      </c>
      <c r="H540" s="23" t="s">
        <v>2486</v>
      </c>
      <c r="I540" s="23" t="s">
        <v>28</v>
      </c>
      <c r="J540" s="23" t="s">
        <v>2487</v>
      </c>
      <c r="K540" s="23" t="s">
        <v>2488</v>
      </c>
      <c r="L540" s="24" t="s">
        <v>15</v>
      </c>
      <c r="M540" s="26">
        <f t="shared" si="22"/>
        <v>1</v>
      </c>
    </row>
    <row r="541" ht="26" spans="1:13">
      <c r="A541" s="27"/>
      <c r="B541" s="37"/>
      <c r="C541" s="29"/>
      <c r="D541" s="29"/>
      <c r="E541" s="23" t="s">
        <v>524</v>
      </c>
      <c r="F541" s="23" t="s">
        <v>2476</v>
      </c>
      <c r="G541" s="23" t="s">
        <v>2489</v>
      </c>
      <c r="H541" s="23" t="s">
        <v>2490</v>
      </c>
      <c r="I541" s="23" t="s">
        <v>24</v>
      </c>
      <c r="J541" s="23" t="s">
        <v>2491</v>
      </c>
      <c r="K541" s="23" t="s">
        <v>2492</v>
      </c>
      <c r="L541" s="24" t="s">
        <v>15</v>
      </c>
      <c r="M541" s="26">
        <f t="shared" si="22"/>
        <v>1</v>
      </c>
    </row>
    <row r="542" ht="26" spans="1:13">
      <c r="A542" s="27"/>
      <c r="B542" s="37"/>
      <c r="C542" s="22" t="s">
        <v>2493</v>
      </c>
      <c r="D542" s="22" t="s">
        <v>2494</v>
      </c>
      <c r="E542" s="23" t="s">
        <v>524</v>
      </c>
      <c r="F542" s="23" t="s">
        <v>2495</v>
      </c>
      <c r="G542" s="23" t="s">
        <v>2496</v>
      </c>
      <c r="H542" s="23" t="s">
        <v>2497</v>
      </c>
      <c r="I542" s="23" t="s">
        <v>22</v>
      </c>
      <c r="J542" s="23" t="s">
        <v>2498</v>
      </c>
      <c r="K542" s="23" t="s">
        <v>2499</v>
      </c>
      <c r="L542" s="24" t="s">
        <v>15</v>
      </c>
      <c r="M542" s="26">
        <f t="shared" si="22"/>
        <v>1</v>
      </c>
    </row>
    <row r="543" ht="39" spans="1:13">
      <c r="A543" s="27"/>
      <c r="B543" s="37"/>
      <c r="C543" s="28"/>
      <c r="D543" s="28"/>
      <c r="E543" s="23" t="s">
        <v>524</v>
      </c>
      <c r="F543" s="23" t="s">
        <v>2495</v>
      </c>
      <c r="G543" s="23" t="s">
        <v>2500</v>
      </c>
      <c r="H543" s="23" t="s">
        <v>2501</v>
      </c>
      <c r="I543" s="23" t="s">
        <v>26</v>
      </c>
      <c r="J543" s="23" t="s">
        <v>2502</v>
      </c>
      <c r="K543" s="23" t="s">
        <v>2503</v>
      </c>
      <c r="L543" s="24" t="s">
        <v>15</v>
      </c>
      <c r="M543" s="26">
        <f t="shared" si="22"/>
        <v>1</v>
      </c>
    </row>
    <row r="544" ht="26" spans="1:13">
      <c r="A544" s="27"/>
      <c r="B544" s="37"/>
      <c r="C544" s="28"/>
      <c r="D544" s="28"/>
      <c r="E544" s="23" t="s">
        <v>524</v>
      </c>
      <c r="F544" s="23" t="s">
        <v>2495</v>
      </c>
      <c r="G544" s="23" t="s">
        <v>2504</v>
      </c>
      <c r="H544" s="23" t="s">
        <v>2505</v>
      </c>
      <c r="I544" s="23" t="s">
        <v>28</v>
      </c>
      <c r="J544" s="23" t="s">
        <v>2506</v>
      </c>
      <c r="K544" s="23" t="s">
        <v>2507</v>
      </c>
      <c r="L544" s="24" t="s">
        <v>15</v>
      </c>
      <c r="M544" s="26">
        <f t="shared" si="22"/>
        <v>1</v>
      </c>
    </row>
    <row r="545" ht="26" spans="1:13">
      <c r="A545" s="27"/>
      <c r="B545" s="37"/>
      <c r="C545" s="29"/>
      <c r="D545" s="29"/>
      <c r="E545" s="23" t="s">
        <v>524</v>
      </c>
      <c r="F545" s="23" t="s">
        <v>2495</v>
      </c>
      <c r="G545" s="23" t="s">
        <v>2508</v>
      </c>
      <c r="H545" s="23" t="s">
        <v>2509</v>
      </c>
      <c r="I545" s="23" t="s">
        <v>24</v>
      </c>
      <c r="J545" s="23" t="s">
        <v>2510</v>
      </c>
      <c r="K545" s="23" t="s">
        <v>2511</v>
      </c>
      <c r="L545" s="24" t="s">
        <v>15</v>
      </c>
      <c r="M545" s="26">
        <f t="shared" si="22"/>
        <v>1</v>
      </c>
    </row>
    <row r="546" ht="26" spans="1:13">
      <c r="A546" s="27"/>
      <c r="B546" s="37"/>
      <c r="C546" s="22" t="s">
        <v>2512</v>
      </c>
      <c r="D546" s="22" t="s">
        <v>2513</v>
      </c>
      <c r="E546" s="23" t="s">
        <v>524</v>
      </c>
      <c r="F546" s="23" t="s">
        <v>2514</v>
      </c>
      <c r="G546" s="23" t="s">
        <v>2515</v>
      </c>
      <c r="H546" s="23" t="s">
        <v>2516</v>
      </c>
      <c r="I546" s="23" t="s">
        <v>22</v>
      </c>
      <c r="J546" s="23" t="s">
        <v>2517</v>
      </c>
      <c r="K546" s="23" t="s">
        <v>2518</v>
      </c>
      <c r="L546" s="24" t="s">
        <v>15</v>
      </c>
      <c r="M546" s="26">
        <f t="shared" si="22"/>
        <v>1</v>
      </c>
    </row>
    <row r="547" ht="39" spans="1:13">
      <c r="A547" s="27"/>
      <c r="B547" s="37"/>
      <c r="C547" s="28"/>
      <c r="D547" s="28"/>
      <c r="E547" s="23" t="s">
        <v>524</v>
      </c>
      <c r="F547" s="23" t="s">
        <v>2514</v>
      </c>
      <c r="G547" s="23" t="s">
        <v>2519</v>
      </c>
      <c r="H547" s="23" t="s">
        <v>2520</v>
      </c>
      <c r="I547" s="23" t="s">
        <v>26</v>
      </c>
      <c r="J547" s="23" t="s">
        <v>2521</v>
      </c>
      <c r="K547" s="23" t="s">
        <v>2522</v>
      </c>
      <c r="L547" s="24" t="s">
        <v>15</v>
      </c>
      <c r="M547" s="26">
        <f t="shared" si="22"/>
        <v>1</v>
      </c>
    </row>
    <row r="548" ht="26" spans="1:13">
      <c r="A548" s="27"/>
      <c r="B548" s="37"/>
      <c r="C548" s="28"/>
      <c r="D548" s="28"/>
      <c r="E548" s="23" t="s">
        <v>524</v>
      </c>
      <c r="F548" s="23" t="s">
        <v>2514</v>
      </c>
      <c r="G548" s="23" t="s">
        <v>2523</v>
      </c>
      <c r="H548" s="23" t="s">
        <v>2524</v>
      </c>
      <c r="I548" s="23" t="s">
        <v>28</v>
      </c>
      <c r="J548" s="23" t="s">
        <v>2525</v>
      </c>
      <c r="K548" s="23" t="s">
        <v>2526</v>
      </c>
      <c r="L548" s="24" t="s">
        <v>15</v>
      </c>
      <c r="M548" s="26">
        <f t="shared" si="22"/>
        <v>1</v>
      </c>
    </row>
    <row r="549" ht="26" spans="1:13">
      <c r="A549" s="38"/>
      <c r="B549" s="39"/>
      <c r="C549" s="29"/>
      <c r="D549" s="29"/>
      <c r="E549" s="23" t="s">
        <v>524</v>
      </c>
      <c r="F549" s="23" t="s">
        <v>2514</v>
      </c>
      <c r="G549" s="23" t="s">
        <v>2527</v>
      </c>
      <c r="H549" s="23" t="s">
        <v>2528</v>
      </c>
      <c r="I549" s="23" t="s">
        <v>24</v>
      </c>
      <c r="J549" s="23" t="s">
        <v>2529</v>
      </c>
      <c r="K549" s="23" t="s">
        <v>2530</v>
      </c>
      <c r="L549" s="24" t="s">
        <v>15</v>
      </c>
      <c r="M549" s="26">
        <f t="shared" si="22"/>
        <v>1</v>
      </c>
    </row>
  </sheetData>
  <autoFilter xmlns:etc="http://www.wps.cn/officeDocument/2017/etCustomData" ref="A4:N549" etc:filterBottomFollowUsedRange="0">
    <extLst/>
  </autoFilter>
  <mergeCells count="268">
    <mergeCell ref="A1:N1"/>
    <mergeCell ref="A2:E2"/>
    <mergeCell ref="F2:K2"/>
    <mergeCell ref="L2:N2"/>
    <mergeCell ref="B3:D3"/>
    <mergeCell ref="A3:A4"/>
    <mergeCell ref="A5:A549"/>
    <mergeCell ref="B5:B110"/>
    <mergeCell ref="B111:B241"/>
    <mergeCell ref="B242:B449"/>
    <mergeCell ref="B450:B549"/>
    <mergeCell ref="C5:C8"/>
    <mergeCell ref="C9:C12"/>
    <mergeCell ref="C13:C16"/>
    <mergeCell ref="C17:C20"/>
    <mergeCell ref="C21:C24"/>
    <mergeCell ref="C25:C26"/>
    <mergeCell ref="C27:C30"/>
    <mergeCell ref="C31:C34"/>
    <mergeCell ref="C35:C38"/>
    <mergeCell ref="C39:C42"/>
    <mergeCell ref="C43:C46"/>
    <mergeCell ref="C47:C50"/>
    <mergeCell ref="C51:C54"/>
    <mergeCell ref="C55:C58"/>
    <mergeCell ref="C59:C62"/>
    <mergeCell ref="C63:C66"/>
    <mergeCell ref="C67:C78"/>
    <mergeCell ref="C79:C82"/>
    <mergeCell ref="C83:C94"/>
    <mergeCell ref="C95: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6"/>
    <mergeCell ref="C187:C190"/>
    <mergeCell ref="C191:C194"/>
    <mergeCell ref="C195:C198"/>
    <mergeCell ref="C199:C202"/>
    <mergeCell ref="C203:C206"/>
    <mergeCell ref="C207:C210"/>
    <mergeCell ref="C211:C213"/>
    <mergeCell ref="C214:C217"/>
    <mergeCell ref="C218:C221"/>
    <mergeCell ref="C222:C225"/>
    <mergeCell ref="C226:C229"/>
    <mergeCell ref="C230:C237"/>
    <mergeCell ref="C238:C241"/>
    <mergeCell ref="C242:C245"/>
    <mergeCell ref="C246:C249"/>
    <mergeCell ref="C250:C253"/>
    <mergeCell ref="C254:C265"/>
    <mergeCell ref="C266:C277"/>
    <mergeCell ref="C278:C281"/>
    <mergeCell ref="C282:C285"/>
    <mergeCell ref="C286:C289"/>
    <mergeCell ref="C290:C293"/>
    <mergeCell ref="C294:C297"/>
    <mergeCell ref="C298:C305"/>
    <mergeCell ref="C306:C309"/>
    <mergeCell ref="C310:C313"/>
    <mergeCell ref="C314:C317"/>
    <mergeCell ref="C318:C321"/>
    <mergeCell ref="C322:C325"/>
    <mergeCell ref="C326:C329"/>
    <mergeCell ref="C330:C333"/>
    <mergeCell ref="C334:C337"/>
    <mergeCell ref="C338:C341"/>
    <mergeCell ref="C342:C345"/>
    <mergeCell ref="C346:C349"/>
    <mergeCell ref="C350:C353"/>
    <mergeCell ref="C354:C357"/>
    <mergeCell ref="C358:C361"/>
    <mergeCell ref="C362:C365"/>
    <mergeCell ref="C366:C369"/>
    <mergeCell ref="C370:C373"/>
    <mergeCell ref="C374:C377"/>
    <mergeCell ref="C378:C393"/>
    <mergeCell ref="C394:C421"/>
    <mergeCell ref="C422:C425"/>
    <mergeCell ref="C426:C429"/>
    <mergeCell ref="C430:C433"/>
    <mergeCell ref="C434:C437"/>
    <mergeCell ref="C438:C441"/>
    <mergeCell ref="C442:C445"/>
    <mergeCell ref="C446:C449"/>
    <mergeCell ref="C450:C453"/>
    <mergeCell ref="C454:C457"/>
    <mergeCell ref="C458:C461"/>
    <mergeCell ref="C462:C465"/>
    <mergeCell ref="C466:C469"/>
    <mergeCell ref="C470:C473"/>
    <mergeCell ref="C474:C477"/>
    <mergeCell ref="C478:C481"/>
    <mergeCell ref="C482:C485"/>
    <mergeCell ref="C486:C489"/>
    <mergeCell ref="C490:C493"/>
    <mergeCell ref="C494:C497"/>
    <mergeCell ref="C498:C501"/>
    <mergeCell ref="C502:C505"/>
    <mergeCell ref="C506:C509"/>
    <mergeCell ref="C510:C513"/>
    <mergeCell ref="C514:C517"/>
    <mergeCell ref="C518:C525"/>
    <mergeCell ref="C526:C529"/>
    <mergeCell ref="C530:C533"/>
    <mergeCell ref="C534:C537"/>
    <mergeCell ref="C538:C541"/>
    <mergeCell ref="C542:C545"/>
    <mergeCell ref="C546:C549"/>
    <mergeCell ref="D5:D8"/>
    <mergeCell ref="D9:D12"/>
    <mergeCell ref="D13:D16"/>
    <mergeCell ref="D17:D20"/>
    <mergeCell ref="D21:D24"/>
    <mergeCell ref="D25: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3"/>
    <mergeCell ref="D214:D217"/>
    <mergeCell ref="D218:D221"/>
    <mergeCell ref="D222:D225"/>
    <mergeCell ref="D226:D229"/>
    <mergeCell ref="D230:D233"/>
    <mergeCell ref="D234:D237"/>
    <mergeCell ref="D242:D245"/>
    <mergeCell ref="D246:D249"/>
    <mergeCell ref="D250:D253"/>
    <mergeCell ref="D254:D257"/>
    <mergeCell ref="D258:D261"/>
    <mergeCell ref="D262:D265"/>
    <mergeCell ref="D266:D269"/>
    <mergeCell ref="D270:D273"/>
    <mergeCell ref="D274:D277"/>
    <mergeCell ref="D278:D281"/>
    <mergeCell ref="D282:D285"/>
    <mergeCell ref="D286:D289"/>
    <mergeCell ref="D290:D293"/>
    <mergeCell ref="D294:D297"/>
    <mergeCell ref="D298:D301"/>
    <mergeCell ref="D302:D305"/>
    <mergeCell ref="D306:D309"/>
    <mergeCell ref="D314:D317"/>
    <mergeCell ref="D318:D321"/>
    <mergeCell ref="D322:D325"/>
    <mergeCell ref="D326:D329"/>
    <mergeCell ref="D330:D333"/>
    <mergeCell ref="D334:D337"/>
    <mergeCell ref="D338:D341"/>
    <mergeCell ref="D342:D345"/>
    <mergeCell ref="D346:D349"/>
    <mergeCell ref="D350:D353"/>
    <mergeCell ref="D354:D357"/>
    <mergeCell ref="D358:D361"/>
    <mergeCell ref="D362:D365"/>
    <mergeCell ref="D366:D369"/>
    <mergeCell ref="D370:D373"/>
    <mergeCell ref="D374:D377"/>
    <mergeCell ref="D378:D381"/>
    <mergeCell ref="D382:D385"/>
    <mergeCell ref="D386:D389"/>
    <mergeCell ref="D390:D393"/>
    <mergeCell ref="D398:D401"/>
    <mergeCell ref="D402:D405"/>
    <mergeCell ref="D406:D409"/>
    <mergeCell ref="D410:D413"/>
    <mergeCell ref="D414:D417"/>
    <mergeCell ref="D418:D421"/>
    <mergeCell ref="D430:D433"/>
    <mergeCell ref="D438:D441"/>
    <mergeCell ref="D442:D445"/>
    <mergeCell ref="D446:D449"/>
    <mergeCell ref="D450:D453"/>
    <mergeCell ref="D454:D457"/>
    <mergeCell ref="D458:D461"/>
    <mergeCell ref="D462:D465"/>
    <mergeCell ref="D466:D469"/>
    <mergeCell ref="D470:D473"/>
    <mergeCell ref="D474:D477"/>
    <mergeCell ref="D478:D481"/>
    <mergeCell ref="D482:D485"/>
    <mergeCell ref="D486:D489"/>
    <mergeCell ref="D490:D493"/>
    <mergeCell ref="D494:D497"/>
    <mergeCell ref="D498:D501"/>
    <mergeCell ref="D502:D505"/>
    <mergeCell ref="D506:D509"/>
    <mergeCell ref="D510:D513"/>
    <mergeCell ref="D514:D517"/>
    <mergeCell ref="D518:D521"/>
    <mergeCell ref="D522:D525"/>
    <mergeCell ref="D526:D529"/>
    <mergeCell ref="D530:D533"/>
    <mergeCell ref="D534:D537"/>
    <mergeCell ref="D538:D541"/>
    <mergeCell ref="D542:D545"/>
    <mergeCell ref="D546:D549"/>
    <mergeCell ref="E3:E4"/>
    <mergeCell ref="F3:F4"/>
    <mergeCell ref="F430:F433"/>
    <mergeCell ref="G3:G4"/>
    <mergeCell ref="H3:H4"/>
    <mergeCell ref="I3:I4"/>
    <mergeCell ref="J3:J4"/>
    <mergeCell ref="K3:K4"/>
    <mergeCell ref="L3:L4"/>
    <mergeCell ref="M3:M4"/>
    <mergeCell ref="N3:N4"/>
  </mergeCells>
  <conditionalFormatting sqref="K434:K437 K2:K429 J430:J433">
    <cfRule type="duplicateValues" dxfId="0" priority="98"/>
  </conditionalFormatting>
  <conditionalFormatting sqref="G434:G437 G5:G429 F430">
    <cfRule type="duplicateValues" dxfId="1" priority="97"/>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9"/>
  <sheetViews>
    <sheetView tabSelected="1" workbookViewId="0">
      <selection activeCell="D11" sqref="D11"/>
    </sheetView>
  </sheetViews>
  <sheetFormatPr defaultColWidth="11" defaultRowHeight="14"/>
  <sheetData>
    <row r="1" spans="1:13">
      <c r="A1" s="1" t="s">
        <v>34</v>
      </c>
      <c r="B1" s="1" t="s">
        <v>46</v>
      </c>
      <c r="C1" s="1" t="s">
        <v>47</v>
      </c>
      <c r="D1" s="1" t="s">
        <v>48</v>
      </c>
      <c r="E1" s="1" t="s">
        <v>36</v>
      </c>
      <c r="F1" s="1" t="s">
        <v>37</v>
      </c>
      <c r="G1" s="1" t="s">
        <v>38</v>
      </c>
      <c r="H1" s="1" t="s">
        <v>39</v>
      </c>
      <c r="I1" s="1" t="s">
        <v>40</v>
      </c>
      <c r="J1" s="1" t="s">
        <v>41</v>
      </c>
      <c r="K1" s="1" t="s">
        <v>42</v>
      </c>
      <c r="L1" s="1" t="s">
        <v>43</v>
      </c>
      <c r="M1" s="1" t="s">
        <v>44</v>
      </c>
    </row>
    <row r="2" spans="1:13">
      <c r="A2" s="2" t="s">
        <v>2077</v>
      </c>
      <c r="B2" s="2" t="s">
        <v>2531</v>
      </c>
      <c r="C2" s="2" t="s">
        <v>2532</v>
      </c>
      <c r="D2" s="2" t="s">
        <v>2278</v>
      </c>
      <c r="E2" s="2" t="s">
        <v>524</v>
      </c>
      <c r="F2" s="2" t="s">
        <v>2279</v>
      </c>
      <c r="G2" s="2" t="s">
        <v>822</v>
      </c>
      <c r="H2" s="2" t="s">
        <v>2280</v>
      </c>
      <c r="I2" s="2" t="s">
        <v>22</v>
      </c>
      <c r="J2" s="2" t="s">
        <v>2281</v>
      </c>
      <c r="K2" s="2" t="s">
        <v>2282</v>
      </c>
      <c r="L2" s="2" t="s">
        <v>15</v>
      </c>
      <c r="M2" s="2">
        <v>1</v>
      </c>
    </row>
    <row r="3" spans="1:13">
      <c r="A3" s="2" t="s">
        <v>2077</v>
      </c>
      <c r="B3" s="2" t="s">
        <v>2531</v>
      </c>
      <c r="C3" s="2" t="s">
        <v>2532</v>
      </c>
      <c r="D3" s="2" t="s">
        <v>2278</v>
      </c>
      <c r="E3" s="2" t="s">
        <v>524</v>
      </c>
      <c r="F3" s="2" t="s">
        <v>2279</v>
      </c>
      <c r="G3" s="2" t="s">
        <v>2283</v>
      </c>
      <c r="H3" s="2" t="s">
        <v>2284</v>
      </c>
      <c r="I3" s="2" t="s">
        <v>26</v>
      </c>
      <c r="J3" s="2" t="s">
        <v>2285</v>
      </c>
      <c r="K3" s="2" t="s">
        <v>2286</v>
      </c>
      <c r="L3" s="2" t="s">
        <v>15</v>
      </c>
      <c r="M3" s="2">
        <v>1</v>
      </c>
    </row>
    <row r="4" spans="1:13">
      <c r="A4" s="2" t="s">
        <v>2077</v>
      </c>
      <c r="B4" s="2" t="s">
        <v>2531</v>
      </c>
      <c r="C4" s="2" t="s">
        <v>2532</v>
      </c>
      <c r="D4" s="2" t="s">
        <v>2278</v>
      </c>
      <c r="E4" s="2" t="s">
        <v>524</v>
      </c>
      <c r="F4" s="2" t="s">
        <v>2279</v>
      </c>
      <c r="G4" s="2" t="s">
        <v>2287</v>
      </c>
      <c r="H4" s="2" t="s">
        <v>2288</v>
      </c>
      <c r="I4" s="2" t="s">
        <v>28</v>
      </c>
      <c r="J4" s="2" t="s">
        <v>2289</v>
      </c>
      <c r="K4" s="2" t="s">
        <v>2290</v>
      </c>
      <c r="L4" s="2" t="s">
        <v>15</v>
      </c>
      <c r="M4" s="2">
        <v>1</v>
      </c>
    </row>
    <row r="5" spans="1:13">
      <c r="A5" s="2" t="s">
        <v>2077</v>
      </c>
      <c r="B5" s="2" t="s">
        <v>2531</v>
      </c>
      <c r="C5" s="2" t="s">
        <v>2532</v>
      </c>
      <c r="D5" s="2" t="s">
        <v>2278</v>
      </c>
      <c r="E5" s="2" t="s">
        <v>524</v>
      </c>
      <c r="F5" s="2" t="s">
        <v>2279</v>
      </c>
      <c r="G5" s="2" t="s">
        <v>832</v>
      </c>
      <c r="H5" s="2" t="s">
        <v>2291</v>
      </c>
      <c r="I5" s="2" t="s">
        <v>24</v>
      </c>
      <c r="J5" s="2" t="s">
        <v>2292</v>
      </c>
      <c r="K5" s="2" t="s">
        <v>2293</v>
      </c>
      <c r="L5" s="2" t="s">
        <v>15</v>
      </c>
      <c r="M5" s="2">
        <v>1</v>
      </c>
    </row>
    <row r="6" spans="1:13">
      <c r="A6" s="2" t="s">
        <v>2077</v>
      </c>
      <c r="B6" s="2" t="s">
        <v>2533</v>
      </c>
      <c r="C6" s="2" t="s">
        <v>2294</v>
      </c>
      <c r="D6" s="2" t="s">
        <v>2295</v>
      </c>
      <c r="E6" s="2" t="s">
        <v>524</v>
      </c>
      <c r="F6" s="2" t="s">
        <v>2296</v>
      </c>
      <c r="G6" s="2" t="s">
        <v>2297</v>
      </c>
      <c r="H6" s="2" t="s">
        <v>2298</v>
      </c>
      <c r="I6" s="2" t="s">
        <v>22</v>
      </c>
      <c r="J6" s="2" t="s">
        <v>2299</v>
      </c>
      <c r="K6" s="2" t="s">
        <v>2300</v>
      </c>
      <c r="L6" s="2" t="s">
        <v>15</v>
      </c>
      <c r="M6" s="2">
        <v>1</v>
      </c>
    </row>
    <row r="7" spans="1:13">
      <c r="A7" s="2" t="s">
        <v>2077</v>
      </c>
      <c r="B7" s="2" t="s">
        <v>2533</v>
      </c>
      <c r="C7" s="2" t="s">
        <v>2294</v>
      </c>
      <c r="D7" s="2" t="s">
        <v>2295</v>
      </c>
      <c r="E7" s="2" t="s">
        <v>524</v>
      </c>
      <c r="F7" s="2" t="s">
        <v>2296</v>
      </c>
      <c r="G7" s="2" t="s">
        <v>2301</v>
      </c>
      <c r="H7" s="2" t="s">
        <v>2302</v>
      </c>
      <c r="I7" s="2" t="s">
        <v>26</v>
      </c>
      <c r="J7" s="2" t="s">
        <v>2303</v>
      </c>
      <c r="K7" s="2" t="s">
        <v>2304</v>
      </c>
      <c r="L7" s="2" t="s">
        <v>15</v>
      </c>
      <c r="M7" s="2">
        <v>1</v>
      </c>
    </row>
    <row r="8" spans="1:13">
      <c r="A8" s="2" t="s">
        <v>2077</v>
      </c>
      <c r="B8" s="2" t="s">
        <v>2533</v>
      </c>
      <c r="C8" s="2" t="s">
        <v>2294</v>
      </c>
      <c r="D8" s="2" t="s">
        <v>2295</v>
      </c>
      <c r="E8" s="2" t="s">
        <v>524</v>
      </c>
      <c r="F8" s="2" t="s">
        <v>2296</v>
      </c>
      <c r="G8" s="2" t="s">
        <v>2305</v>
      </c>
      <c r="H8" s="2" t="s">
        <v>2306</v>
      </c>
      <c r="I8" s="2" t="s">
        <v>28</v>
      </c>
      <c r="J8" s="2" t="s">
        <v>2307</v>
      </c>
      <c r="K8" s="2" t="s">
        <v>2308</v>
      </c>
      <c r="L8" s="2" t="s">
        <v>15</v>
      </c>
      <c r="M8" s="2">
        <v>1</v>
      </c>
    </row>
    <row r="9" spans="1:13">
      <c r="A9" s="2" t="s">
        <v>2077</v>
      </c>
      <c r="B9" s="2" t="s">
        <v>2533</v>
      </c>
      <c r="C9" s="2" t="s">
        <v>2294</v>
      </c>
      <c r="D9" s="2" t="s">
        <v>2295</v>
      </c>
      <c r="E9" s="2" t="s">
        <v>524</v>
      </c>
      <c r="F9" s="2" t="s">
        <v>2296</v>
      </c>
      <c r="G9" s="2" t="s">
        <v>2309</v>
      </c>
      <c r="H9" s="2" t="s">
        <v>2310</v>
      </c>
      <c r="I9" s="2" t="s">
        <v>24</v>
      </c>
      <c r="J9" s="2" t="s">
        <v>2311</v>
      </c>
      <c r="K9" s="2" t="s">
        <v>2312</v>
      </c>
      <c r="L9" s="2" t="s">
        <v>15</v>
      </c>
      <c r="M9" s="2">
        <v>1</v>
      </c>
    </row>
    <row r="10" spans="1:13">
      <c r="A10" s="2" t="s">
        <v>2077</v>
      </c>
      <c r="B10" s="2" t="s">
        <v>2533</v>
      </c>
      <c r="C10" s="2" t="s">
        <v>2534</v>
      </c>
      <c r="D10" s="2" t="s">
        <v>2535</v>
      </c>
      <c r="E10" s="2" t="s">
        <v>524</v>
      </c>
      <c r="F10" s="2" t="s">
        <v>2296</v>
      </c>
      <c r="G10" s="2" t="s">
        <v>2315</v>
      </c>
      <c r="H10" s="2" t="s">
        <v>2316</v>
      </c>
      <c r="I10" s="2" t="s">
        <v>22</v>
      </c>
      <c r="J10" s="2" t="s">
        <v>2317</v>
      </c>
      <c r="K10" s="2" t="s">
        <v>2318</v>
      </c>
      <c r="L10" s="2" t="s">
        <v>15</v>
      </c>
      <c r="M10" s="2">
        <v>1</v>
      </c>
    </row>
    <row r="11" spans="1:13">
      <c r="A11" s="2" t="s">
        <v>2077</v>
      </c>
      <c r="B11" s="2" t="s">
        <v>2533</v>
      </c>
      <c r="C11" s="2" t="s">
        <v>2534</v>
      </c>
      <c r="D11" s="2" t="s">
        <v>2535</v>
      </c>
      <c r="E11" s="2" t="s">
        <v>524</v>
      </c>
      <c r="F11" s="2" t="s">
        <v>2296</v>
      </c>
      <c r="G11" s="2" t="s">
        <v>2319</v>
      </c>
      <c r="H11" s="2" t="s">
        <v>2320</v>
      </c>
      <c r="I11" s="2" t="s">
        <v>26</v>
      </c>
      <c r="J11" s="2" t="s">
        <v>2321</v>
      </c>
      <c r="K11" s="2" t="s">
        <v>2322</v>
      </c>
      <c r="L11" s="2" t="s">
        <v>15</v>
      </c>
      <c r="M11" s="2">
        <v>1</v>
      </c>
    </row>
    <row r="12" spans="1:13">
      <c r="A12" s="2" t="s">
        <v>2077</v>
      </c>
      <c r="B12" s="2" t="s">
        <v>2533</v>
      </c>
      <c r="C12" s="2" t="s">
        <v>2534</v>
      </c>
      <c r="D12" s="2" t="s">
        <v>2535</v>
      </c>
      <c r="E12" s="2" t="s">
        <v>524</v>
      </c>
      <c r="F12" s="2" t="s">
        <v>2296</v>
      </c>
      <c r="G12" s="2" t="s">
        <v>2323</v>
      </c>
      <c r="H12" s="2" t="s">
        <v>2324</v>
      </c>
      <c r="I12" s="2" t="s">
        <v>28</v>
      </c>
      <c r="J12" s="2" t="s">
        <v>2325</v>
      </c>
      <c r="K12" s="2" t="s">
        <v>2326</v>
      </c>
      <c r="L12" s="2" t="s">
        <v>15</v>
      </c>
      <c r="M12" s="2">
        <v>1</v>
      </c>
    </row>
    <row r="13" spans="1:13">
      <c r="A13" s="2" t="s">
        <v>2077</v>
      </c>
      <c r="B13" s="2" t="s">
        <v>2533</v>
      </c>
      <c r="C13" s="2" t="s">
        <v>2534</v>
      </c>
      <c r="D13" s="2" t="s">
        <v>2535</v>
      </c>
      <c r="E13" s="2" t="s">
        <v>524</v>
      </c>
      <c r="F13" s="2" t="s">
        <v>2296</v>
      </c>
      <c r="G13" s="2" t="s">
        <v>2327</v>
      </c>
      <c r="H13" s="2" t="s">
        <v>2328</v>
      </c>
      <c r="I13" s="2" t="s">
        <v>24</v>
      </c>
      <c r="J13" s="2" t="s">
        <v>2329</v>
      </c>
      <c r="K13" s="2" t="s">
        <v>2330</v>
      </c>
      <c r="L13" s="2" t="s">
        <v>15</v>
      </c>
      <c r="M13" s="2">
        <v>1</v>
      </c>
    </row>
    <row r="14" spans="1:13">
      <c r="A14" s="2" t="s">
        <v>2077</v>
      </c>
      <c r="B14" s="2" t="s">
        <v>2536</v>
      </c>
      <c r="C14" s="2" t="s">
        <v>2331</v>
      </c>
      <c r="D14" s="2" t="s">
        <v>2332</v>
      </c>
      <c r="E14" s="2" t="s">
        <v>524</v>
      </c>
      <c r="F14" s="2" t="s">
        <v>2333</v>
      </c>
      <c r="G14" s="2" t="s">
        <v>2334</v>
      </c>
      <c r="H14" s="2" t="s">
        <v>2335</v>
      </c>
      <c r="I14" s="2" t="s">
        <v>22</v>
      </c>
      <c r="J14" s="2" t="s">
        <v>2336</v>
      </c>
      <c r="K14" s="2" t="s">
        <v>2337</v>
      </c>
      <c r="L14" s="2" t="s">
        <v>15</v>
      </c>
      <c r="M14" s="2">
        <v>1</v>
      </c>
    </row>
    <row r="15" spans="1:13">
      <c r="A15" s="2" t="s">
        <v>2077</v>
      </c>
      <c r="B15" s="2" t="s">
        <v>2536</v>
      </c>
      <c r="C15" s="2" t="s">
        <v>2331</v>
      </c>
      <c r="D15" s="2" t="s">
        <v>2332</v>
      </c>
      <c r="E15" s="2" t="s">
        <v>524</v>
      </c>
      <c r="F15" s="2" t="s">
        <v>2333</v>
      </c>
      <c r="G15" s="2" t="s">
        <v>2338</v>
      </c>
      <c r="H15" s="2" t="s">
        <v>2339</v>
      </c>
      <c r="I15" s="2" t="s">
        <v>26</v>
      </c>
      <c r="J15" s="2" t="s">
        <v>2340</v>
      </c>
      <c r="K15" s="2" t="s">
        <v>2341</v>
      </c>
      <c r="L15" s="2" t="s">
        <v>15</v>
      </c>
      <c r="M15" s="2">
        <v>1</v>
      </c>
    </row>
    <row r="16" spans="1:13">
      <c r="A16" s="2" t="s">
        <v>2077</v>
      </c>
      <c r="B16" s="2" t="s">
        <v>2536</v>
      </c>
      <c r="C16" s="2" t="s">
        <v>2331</v>
      </c>
      <c r="D16" s="2" t="s">
        <v>2332</v>
      </c>
      <c r="E16" s="2" t="s">
        <v>524</v>
      </c>
      <c r="F16" s="2" t="s">
        <v>2333</v>
      </c>
      <c r="G16" s="2" t="s">
        <v>2342</v>
      </c>
      <c r="H16" s="2" t="s">
        <v>2343</v>
      </c>
      <c r="I16" s="2" t="s">
        <v>28</v>
      </c>
      <c r="J16" s="2" t="s">
        <v>2344</v>
      </c>
      <c r="K16" s="2" t="s">
        <v>2345</v>
      </c>
      <c r="L16" s="2" t="s">
        <v>15</v>
      </c>
      <c r="M16" s="2">
        <v>1</v>
      </c>
    </row>
    <row r="17" spans="1:13">
      <c r="A17" s="2" t="s">
        <v>2077</v>
      </c>
      <c r="B17" s="2" t="s">
        <v>2536</v>
      </c>
      <c r="C17" s="2" t="s">
        <v>2331</v>
      </c>
      <c r="D17" s="2" t="s">
        <v>2332</v>
      </c>
      <c r="E17" s="2" t="s">
        <v>524</v>
      </c>
      <c r="F17" s="2" t="s">
        <v>2333</v>
      </c>
      <c r="G17" s="2" t="s">
        <v>2346</v>
      </c>
      <c r="H17" s="2" t="s">
        <v>2347</v>
      </c>
      <c r="I17" s="2" t="s">
        <v>24</v>
      </c>
      <c r="J17" s="2" t="s">
        <v>2348</v>
      </c>
      <c r="K17" s="2" t="s">
        <v>2349</v>
      </c>
      <c r="L17" s="2" t="s">
        <v>15</v>
      </c>
      <c r="M17" s="2">
        <v>1</v>
      </c>
    </row>
    <row r="18" spans="1:13">
      <c r="A18" s="2" t="s">
        <v>2077</v>
      </c>
      <c r="B18" s="2" t="s">
        <v>2536</v>
      </c>
      <c r="C18" s="2" t="s">
        <v>1084</v>
      </c>
      <c r="D18" s="2" t="s">
        <v>2350</v>
      </c>
      <c r="E18" s="2" t="s">
        <v>524</v>
      </c>
      <c r="F18" s="2" t="s">
        <v>2351</v>
      </c>
      <c r="G18" s="2" t="s">
        <v>2352</v>
      </c>
      <c r="H18" s="2" t="s">
        <v>2353</v>
      </c>
      <c r="I18" s="2" t="s">
        <v>22</v>
      </c>
      <c r="J18" s="2" t="s">
        <v>2354</v>
      </c>
      <c r="K18" s="2" t="s">
        <v>2355</v>
      </c>
      <c r="L18" s="2" t="s">
        <v>15</v>
      </c>
      <c r="M18" s="2">
        <v>1</v>
      </c>
    </row>
    <row r="19" spans="1:13">
      <c r="A19" s="2" t="s">
        <v>2077</v>
      </c>
      <c r="B19" s="2" t="s">
        <v>2536</v>
      </c>
      <c r="C19" s="2" t="s">
        <v>1084</v>
      </c>
      <c r="D19" s="2" t="s">
        <v>2350</v>
      </c>
      <c r="E19" s="2" t="s">
        <v>524</v>
      </c>
      <c r="F19" s="2" t="s">
        <v>2351</v>
      </c>
      <c r="G19" s="2" t="s">
        <v>1090</v>
      </c>
      <c r="H19" s="2" t="s">
        <v>2356</v>
      </c>
      <c r="I19" s="2" t="s">
        <v>26</v>
      </c>
      <c r="J19" s="2" t="s">
        <v>1092</v>
      </c>
      <c r="K19" s="2" t="s">
        <v>2357</v>
      </c>
      <c r="L19" s="2" t="s">
        <v>15</v>
      </c>
      <c r="M19" s="2">
        <v>1</v>
      </c>
    </row>
    <row r="20" spans="1:13">
      <c r="A20" s="2" t="s">
        <v>2077</v>
      </c>
      <c r="B20" s="2" t="s">
        <v>2536</v>
      </c>
      <c r="C20" s="2" t="s">
        <v>1084</v>
      </c>
      <c r="D20" s="2" t="s">
        <v>2350</v>
      </c>
      <c r="E20" s="2" t="s">
        <v>524</v>
      </c>
      <c r="F20" s="2" t="s">
        <v>2351</v>
      </c>
      <c r="G20" s="2" t="s">
        <v>2358</v>
      </c>
      <c r="H20" s="2" t="s">
        <v>2359</v>
      </c>
      <c r="I20" s="2" t="s">
        <v>28</v>
      </c>
      <c r="J20" s="2" t="s">
        <v>2360</v>
      </c>
      <c r="K20" s="2" t="s">
        <v>2361</v>
      </c>
      <c r="L20" s="2" t="s">
        <v>15</v>
      </c>
      <c r="M20" s="2">
        <v>1</v>
      </c>
    </row>
    <row r="21" spans="1:13">
      <c r="A21" s="2" t="s">
        <v>2077</v>
      </c>
      <c r="B21" s="2" t="s">
        <v>2536</v>
      </c>
      <c r="C21" s="2" t="s">
        <v>1084</v>
      </c>
      <c r="D21" s="2" t="s">
        <v>2350</v>
      </c>
      <c r="E21" s="2" t="s">
        <v>524</v>
      </c>
      <c r="F21" s="2" t="s">
        <v>2351</v>
      </c>
      <c r="G21" s="2" t="s">
        <v>2362</v>
      </c>
      <c r="H21" s="2" t="s">
        <v>2363</v>
      </c>
      <c r="I21" s="2" t="s">
        <v>24</v>
      </c>
      <c r="J21" s="2" t="s">
        <v>2364</v>
      </c>
      <c r="K21" s="2" t="s">
        <v>2365</v>
      </c>
      <c r="L21" s="2" t="s">
        <v>15</v>
      </c>
      <c r="M21" s="2">
        <v>1</v>
      </c>
    </row>
    <row r="22" spans="1:13">
      <c r="A22" s="2" t="s">
        <v>2077</v>
      </c>
      <c r="B22" s="2" t="s">
        <v>2537</v>
      </c>
      <c r="C22" s="2" t="s">
        <v>2538</v>
      </c>
      <c r="D22" s="2" t="s">
        <v>2539</v>
      </c>
      <c r="E22" s="2" t="s">
        <v>524</v>
      </c>
      <c r="F22" s="2" t="s">
        <v>2367</v>
      </c>
      <c r="G22" s="2" t="s">
        <v>1368</v>
      </c>
      <c r="H22" s="2" t="s">
        <v>2368</v>
      </c>
      <c r="I22" s="2" t="s">
        <v>22</v>
      </c>
      <c r="J22" s="2" t="s">
        <v>2369</v>
      </c>
      <c r="K22" s="2" t="s">
        <v>2370</v>
      </c>
      <c r="L22" s="2" t="s">
        <v>15</v>
      </c>
      <c r="M22" s="2">
        <v>1</v>
      </c>
    </row>
    <row r="23" spans="1:13">
      <c r="A23" s="2" t="s">
        <v>2077</v>
      </c>
      <c r="B23" s="2" t="s">
        <v>2537</v>
      </c>
      <c r="C23" s="2" t="s">
        <v>2538</v>
      </c>
      <c r="D23" s="2" t="s">
        <v>2539</v>
      </c>
      <c r="E23" s="2" t="s">
        <v>524</v>
      </c>
      <c r="F23" s="2" t="s">
        <v>2367</v>
      </c>
      <c r="G23" s="2" t="s">
        <v>2371</v>
      </c>
      <c r="H23" s="2" t="s">
        <v>2372</v>
      </c>
      <c r="I23" s="2" t="s">
        <v>26</v>
      </c>
      <c r="J23" s="2" t="s">
        <v>2373</v>
      </c>
      <c r="K23" s="2" t="s">
        <v>2374</v>
      </c>
      <c r="L23" s="2" t="s">
        <v>15</v>
      </c>
      <c r="M23" s="2">
        <v>1</v>
      </c>
    </row>
    <row r="24" spans="1:13">
      <c r="A24" s="2" t="s">
        <v>2077</v>
      </c>
      <c r="B24" s="2" t="s">
        <v>2537</v>
      </c>
      <c r="C24" s="2" t="s">
        <v>2538</v>
      </c>
      <c r="D24" s="2" t="s">
        <v>2539</v>
      </c>
      <c r="E24" s="2" t="s">
        <v>524</v>
      </c>
      <c r="F24" s="2" t="s">
        <v>2367</v>
      </c>
      <c r="G24" s="2" t="s">
        <v>2375</v>
      </c>
      <c r="H24" s="2" t="s">
        <v>2376</v>
      </c>
      <c r="I24" s="2" t="s">
        <v>28</v>
      </c>
      <c r="J24" s="2" t="s">
        <v>2377</v>
      </c>
      <c r="K24" s="2" t="s">
        <v>2378</v>
      </c>
      <c r="L24" s="2" t="s">
        <v>15</v>
      </c>
      <c r="M24" s="2">
        <v>1</v>
      </c>
    </row>
    <row r="25" spans="1:13">
      <c r="A25" s="2" t="s">
        <v>2077</v>
      </c>
      <c r="B25" s="2" t="s">
        <v>2537</v>
      </c>
      <c r="C25" s="2" t="s">
        <v>2538</v>
      </c>
      <c r="D25" s="2" t="s">
        <v>2539</v>
      </c>
      <c r="E25" s="2" t="s">
        <v>524</v>
      </c>
      <c r="F25" s="2" t="s">
        <v>2367</v>
      </c>
      <c r="G25" s="2" t="s">
        <v>1380</v>
      </c>
      <c r="H25" s="2" t="s">
        <v>2379</v>
      </c>
      <c r="I25" s="2" t="s">
        <v>24</v>
      </c>
      <c r="J25" s="2" t="s">
        <v>2380</v>
      </c>
      <c r="K25" s="2" t="s">
        <v>2381</v>
      </c>
      <c r="L25" s="2" t="s">
        <v>15</v>
      </c>
      <c r="M25" s="2">
        <v>1</v>
      </c>
    </row>
    <row r="26" spans="1:13">
      <c r="A26" s="2" t="s">
        <v>2077</v>
      </c>
      <c r="B26" s="2" t="s">
        <v>2537</v>
      </c>
      <c r="C26" s="2" t="s">
        <v>2540</v>
      </c>
      <c r="D26" s="2" t="s">
        <v>2541</v>
      </c>
      <c r="E26" s="2" t="s">
        <v>524</v>
      </c>
      <c r="F26" s="2" t="s">
        <v>2542</v>
      </c>
      <c r="G26" s="2" t="s">
        <v>2543</v>
      </c>
      <c r="H26" s="2" t="s">
        <v>2544</v>
      </c>
      <c r="I26" s="2" t="s">
        <v>22</v>
      </c>
      <c r="J26" s="2" t="s">
        <v>2545</v>
      </c>
      <c r="K26" s="2" t="s">
        <v>2546</v>
      </c>
      <c r="L26" s="2" t="s">
        <v>15</v>
      </c>
      <c r="M26" s="2">
        <v>1</v>
      </c>
    </row>
    <row r="27" spans="1:13">
      <c r="A27" s="2" t="s">
        <v>2077</v>
      </c>
      <c r="B27" s="2" t="s">
        <v>2537</v>
      </c>
      <c r="C27" s="2" t="s">
        <v>2540</v>
      </c>
      <c r="D27" s="2" t="s">
        <v>2541</v>
      </c>
      <c r="E27" s="2" t="s">
        <v>524</v>
      </c>
      <c r="F27" s="2" t="s">
        <v>2542</v>
      </c>
      <c r="G27" s="2" t="s">
        <v>2547</v>
      </c>
      <c r="H27" s="2" t="s">
        <v>2548</v>
      </c>
      <c r="I27" s="2" t="s">
        <v>26</v>
      </c>
      <c r="J27" s="2" t="s">
        <v>2549</v>
      </c>
      <c r="K27" s="2" t="s">
        <v>2550</v>
      </c>
      <c r="L27" s="2" t="s">
        <v>15</v>
      </c>
      <c r="M27" s="2">
        <v>1</v>
      </c>
    </row>
    <row r="28" spans="1:13">
      <c r="A28" s="2" t="s">
        <v>2077</v>
      </c>
      <c r="B28" s="2" t="s">
        <v>2537</v>
      </c>
      <c r="C28" s="2" t="s">
        <v>2540</v>
      </c>
      <c r="D28" s="2" t="s">
        <v>2541</v>
      </c>
      <c r="E28" s="2" t="s">
        <v>524</v>
      </c>
      <c r="F28" s="2" t="s">
        <v>2542</v>
      </c>
      <c r="G28" s="2" t="s">
        <v>2551</v>
      </c>
      <c r="H28" s="2" t="s">
        <v>2552</v>
      </c>
      <c r="I28" s="2" t="s">
        <v>28</v>
      </c>
      <c r="J28" s="2" t="s">
        <v>2553</v>
      </c>
      <c r="K28" s="2" t="s">
        <v>2554</v>
      </c>
      <c r="L28" s="2" t="s">
        <v>15</v>
      </c>
      <c r="M28" s="2">
        <v>1</v>
      </c>
    </row>
    <row r="29" spans="1:13">
      <c r="A29" s="2" t="s">
        <v>2077</v>
      </c>
      <c r="B29" s="2" t="s">
        <v>2537</v>
      </c>
      <c r="C29" s="2" t="s">
        <v>2540</v>
      </c>
      <c r="D29" s="2" t="s">
        <v>2541</v>
      </c>
      <c r="E29" s="2" t="s">
        <v>524</v>
      </c>
      <c r="F29" s="2" t="s">
        <v>2542</v>
      </c>
      <c r="G29" s="2" t="s">
        <v>2555</v>
      </c>
      <c r="H29" s="2" t="s">
        <v>2556</v>
      </c>
      <c r="I29" s="2" t="s">
        <v>24</v>
      </c>
      <c r="J29" s="2" t="s">
        <v>2557</v>
      </c>
      <c r="K29" s="2" t="s">
        <v>2558</v>
      </c>
      <c r="L29" s="2" t="s">
        <v>15</v>
      </c>
      <c r="M29" s="2">
        <v>1</v>
      </c>
    </row>
    <row r="30" spans="1:13">
      <c r="A30" s="2" t="s">
        <v>2077</v>
      </c>
      <c r="B30" s="2" t="s">
        <v>2559</v>
      </c>
      <c r="C30" s="2" t="s">
        <v>2560</v>
      </c>
      <c r="D30" s="2" t="s">
        <v>2383</v>
      </c>
      <c r="E30" s="2" t="s">
        <v>524</v>
      </c>
      <c r="F30" s="2" t="s">
        <v>2384</v>
      </c>
      <c r="G30" s="2" t="s">
        <v>2385</v>
      </c>
      <c r="H30" s="2" t="s">
        <v>2386</v>
      </c>
      <c r="I30" s="2" t="s">
        <v>22</v>
      </c>
      <c r="J30" s="2" t="s">
        <v>2387</v>
      </c>
      <c r="K30" s="2" t="s">
        <v>2388</v>
      </c>
      <c r="L30" s="2" t="s">
        <v>15</v>
      </c>
      <c r="M30" s="2">
        <v>1</v>
      </c>
    </row>
    <row r="31" spans="1:13">
      <c r="A31" s="2" t="s">
        <v>2077</v>
      </c>
      <c r="B31" s="2" t="s">
        <v>2559</v>
      </c>
      <c r="C31" s="2" t="s">
        <v>2560</v>
      </c>
      <c r="D31" s="2" t="s">
        <v>2383</v>
      </c>
      <c r="E31" s="2" t="s">
        <v>524</v>
      </c>
      <c r="F31" s="2" t="s">
        <v>2384</v>
      </c>
      <c r="G31" s="2" t="s">
        <v>2389</v>
      </c>
      <c r="H31" s="2" t="s">
        <v>2390</v>
      </c>
      <c r="I31" s="2" t="s">
        <v>26</v>
      </c>
      <c r="J31" s="2" t="s">
        <v>2391</v>
      </c>
      <c r="K31" s="2" t="s">
        <v>2392</v>
      </c>
      <c r="L31" s="2" t="s">
        <v>15</v>
      </c>
      <c r="M31" s="2">
        <v>1</v>
      </c>
    </row>
    <row r="32" spans="1:13">
      <c r="A32" s="2" t="s">
        <v>2077</v>
      </c>
      <c r="B32" s="2" t="s">
        <v>2559</v>
      </c>
      <c r="C32" s="2" t="s">
        <v>2560</v>
      </c>
      <c r="D32" s="2" t="s">
        <v>2383</v>
      </c>
      <c r="E32" s="2" t="s">
        <v>524</v>
      </c>
      <c r="F32" s="2" t="s">
        <v>2384</v>
      </c>
      <c r="G32" s="2" t="s">
        <v>2393</v>
      </c>
      <c r="H32" s="2" t="s">
        <v>2394</v>
      </c>
      <c r="I32" s="2" t="s">
        <v>28</v>
      </c>
      <c r="J32" s="2" t="s">
        <v>2395</v>
      </c>
      <c r="K32" s="2" t="s">
        <v>2396</v>
      </c>
      <c r="L32" s="2" t="s">
        <v>15</v>
      </c>
      <c r="M32" s="2">
        <v>1</v>
      </c>
    </row>
    <row r="33" spans="1:13">
      <c r="A33" s="2" t="s">
        <v>2077</v>
      </c>
      <c r="B33" s="2" t="s">
        <v>2559</v>
      </c>
      <c r="C33" s="2" t="s">
        <v>2560</v>
      </c>
      <c r="D33" s="2" t="s">
        <v>2383</v>
      </c>
      <c r="E33" s="2" t="s">
        <v>524</v>
      </c>
      <c r="F33" s="2" t="s">
        <v>2384</v>
      </c>
      <c r="G33" s="2" t="s">
        <v>2397</v>
      </c>
      <c r="H33" s="2" t="s">
        <v>2398</v>
      </c>
      <c r="I33" s="2" t="s">
        <v>24</v>
      </c>
      <c r="J33" s="2" t="s">
        <v>2399</v>
      </c>
      <c r="K33" s="2" t="s">
        <v>2400</v>
      </c>
      <c r="L33" s="2" t="s">
        <v>15</v>
      </c>
      <c r="M33" s="2">
        <v>1</v>
      </c>
    </row>
    <row r="34" spans="1:13">
      <c r="A34" s="2" t="s">
        <v>2077</v>
      </c>
      <c r="B34" s="2" t="s">
        <v>2559</v>
      </c>
      <c r="C34" s="2" t="s">
        <v>2561</v>
      </c>
      <c r="D34" s="2" t="s">
        <v>2401</v>
      </c>
      <c r="E34" s="2" t="s">
        <v>524</v>
      </c>
      <c r="F34" s="2" t="s">
        <v>2402</v>
      </c>
      <c r="G34" s="2" t="s">
        <v>2403</v>
      </c>
      <c r="H34" s="2" t="s">
        <v>2404</v>
      </c>
      <c r="I34" s="2" t="s">
        <v>22</v>
      </c>
      <c r="J34" s="2" t="s">
        <v>2405</v>
      </c>
      <c r="K34" s="2" t="s">
        <v>2406</v>
      </c>
      <c r="L34" s="2" t="s">
        <v>15</v>
      </c>
      <c r="M34" s="2">
        <v>1</v>
      </c>
    </row>
    <row r="35" spans="1:13">
      <c r="A35" s="2" t="s">
        <v>2077</v>
      </c>
      <c r="B35" s="2" t="s">
        <v>2559</v>
      </c>
      <c r="C35" s="2" t="s">
        <v>2561</v>
      </c>
      <c r="D35" s="2" t="s">
        <v>2401</v>
      </c>
      <c r="E35" s="2" t="s">
        <v>524</v>
      </c>
      <c r="F35" s="2" t="s">
        <v>2402</v>
      </c>
      <c r="G35" s="2" t="s">
        <v>2407</v>
      </c>
      <c r="H35" s="2" t="s">
        <v>2408</v>
      </c>
      <c r="I35" s="2" t="s">
        <v>26</v>
      </c>
      <c r="J35" s="2" t="s">
        <v>280</v>
      </c>
      <c r="K35" s="2" t="s">
        <v>2409</v>
      </c>
      <c r="L35" s="2" t="s">
        <v>15</v>
      </c>
      <c r="M35" s="2">
        <v>1</v>
      </c>
    </row>
    <row r="36" spans="1:13">
      <c r="A36" s="2" t="s">
        <v>2077</v>
      </c>
      <c r="B36" s="2" t="s">
        <v>2559</v>
      </c>
      <c r="C36" s="2" t="s">
        <v>2561</v>
      </c>
      <c r="D36" s="2" t="s">
        <v>2401</v>
      </c>
      <c r="E36" s="2" t="s">
        <v>524</v>
      </c>
      <c r="F36" s="2" t="s">
        <v>2402</v>
      </c>
      <c r="G36" s="2" t="s">
        <v>2410</v>
      </c>
      <c r="H36" s="2" t="s">
        <v>2411</v>
      </c>
      <c r="I36" s="2" t="s">
        <v>28</v>
      </c>
      <c r="J36" s="2" t="s">
        <v>2412</v>
      </c>
      <c r="K36" s="2" t="s">
        <v>2413</v>
      </c>
      <c r="L36" s="2" t="s">
        <v>15</v>
      </c>
      <c r="M36" s="2">
        <v>1</v>
      </c>
    </row>
    <row r="37" spans="1:13">
      <c r="A37" s="2" t="s">
        <v>2077</v>
      </c>
      <c r="B37" s="2" t="s">
        <v>2559</v>
      </c>
      <c r="C37" s="2" t="s">
        <v>2561</v>
      </c>
      <c r="D37" s="2" t="s">
        <v>2401</v>
      </c>
      <c r="E37" s="2" t="s">
        <v>524</v>
      </c>
      <c r="F37" s="2" t="s">
        <v>2402</v>
      </c>
      <c r="G37" s="2" t="s">
        <v>2414</v>
      </c>
      <c r="H37" s="2" t="s">
        <v>2415</v>
      </c>
      <c r="I37" s="2" t="s">
        <v>24</v>
      </c>
      <c r="J37" s="2" t="s">
        <v>2416</v>
      </c>
      <c r="K37" s="2" t="s">
        <v>2417</v>
      </c>
      <c r="L37" s="2" t="s">
        <v>15</v>
      </c>
      <c r="M37" s="2">
        <v>1</v>
      </c>
    </row>
    <row r="38" spans="1:13">
      <c r="A38" s="2" t="s">
        <v>2077</v>
      </c>
      <c r="B38" s="2" t="s">
        <v>2562</v>
      </c>
      <c r="C38" s="2" t="s">
        <v>2418</v>
      </c>
      <c r="D38" s="2" t="s">
        <v>2419</v>
      </c>
      <c r="E38" s="2" t="s">
        <v>524</v>
      </c>
      <c r="F38" s="2" t="s">
        <v>2420</v>
      </c>
      <c r="G38" s="2" t="s">
        <v>2421</v>
      </c>
      <c r="H38" s="2" t="s">
        <v>2422</v>
      </c>
      <c r="I38" s="2" t="s">
        <v>22</v>
      </c>
      <c r="J38" s="2" t="s">
        <v>2423</v>
      </c>
      <c r="K38" s="2" t="s">
        <v>2424</v>
      </c>
      <c r="L38" s="2" t="s">
        <v>15</v>
      </c>
      <c r="M38" s="2">
        <v>1</v>
      </c>
    </row>
    <row r="39" spans="1:13">
      <c r="A39" s="2" t="s">
        <v>2077</v>
      </c>
      <c r="B39" s="2" t="s">
        <v>2562</v>
      </c>
      <c r="C39" s="2" t="s">
        <v>2418</v>
      </c>
      <c r="D39" s="2" t="s">
        <v>2419</v>
      </c>
      <c r="E39" s="2" t="s">
        <v>524</v>
      </c>
      <c r="F39" s="2" t="s">
        <v>2420</v>
      </c>
      <c r="G39" s="2" t="s">
        <v>2425</v>
      </c>
      <c r="H39" s="2" t="s">
        <v>2426</v>
      </c>
      <c r="I39" s="2" t="s">
        <v>26</v>
      </c>
      <c r="J39" s="2" t="s">
        <v>2427</v>
      </c>
      <c r="K39" s="2" t="s">
        <v>2428</v>
      </c>
      <c r="L39" s="2" t="s">
        <v>15</v>
      </c>
      <c r="M39" s="2">
        <v>1</v>
      </c>
    </row>
    <row r="40" spans="1:13">
      <c r="A40" s="2" t="s">
        <v>2077</v>
      </c>
      <c r="B40" s="2" t="s">
        <v>2562</v>
      </c>
      <c r="C40" s="2" t="s">
        <v>2418</v>
      </c>
      <c r="D40" s="2" t="s">
        <v>2419</v>
      </c>
      <c r="E40" s="2" t="s">
        <v>524</v>
      </c>
      <c r="F40" s="2" t="s">
        <v>2420</v>
      </c>
      <c r="G40" s="2" t="s">
        <v>2429</v>
      </c>
      <c r="H40" s="2" t="s">
        <v>2430</v>
      </c>
      <c r="I40" s="2" t="s">
        <v>28</v>
      </c>
      <c r="J40" s="2" t="s">
        <v>2431</v>
      </c>
      <c r="K40" s="2" t="s">
        <v>2432</v>
      </c>
      <c r="L40" s="2" t="s">
        <v>15</v>
      </c>
      <c r="M40" s="2">
        <v>1</v>
      </c>
    </row>
    <row r="41" spans="1:13">
      <c r="A41" s="2" t="s">
        <v>2077</v>
      </c>
      <c r="B41" s="2" t="s">
        <v>2562</v>
      </c>
      <c r="C41" s="2" t="s">
        <v>2418</v>
      </c>
      <c r="D41" s="2" t="s">
        <v>2419</v>
      </c>
      <c r="E41" s="2" t="s">
        <v>524</v>
      </c>
      <c r="F41" s="2" t="s">
        <v>2420</v>
      </c>
      <c r="G41" s="2" t="s">
        <v>2433</v>
      </c>
      <c r="H41" s="2" t="s">
        <v>2434</v>
      </c>
      <c r="I41" s="2" t="s">
        <v>24</v>
      </c>
      <c r="J41" s="2" t="s">
        <v>2435</v>
      </c>
      <c r="K41" s="2" t="s">
        <v>2436</v>
      </c>
      <c r="L41" s="2" t="s">
        <v>15</v>
      </c>
      <c r="M41" s="2">
        <v>1</v>
      </c>
    </row>
    <row r="42" spans="1:13">
      <c r="A42" s="2" t="s">
        <v>2077</v>
      </c>
      <c r="B42" s="2" t="s">
        <v>2563</v>
      </c>
      <c r="C42" s="2" t="s">
        <v>2437</v>
      </c>
      <c r="D42" s="2" t="s">
        <v>2438</v>
      </c>
      <c r="E42" s="2" t="s">
        <v>524</v>
      </c>
      <c r="F42" s="2" t="s">
        <v>2439</v>
      </c>
      <c r="G42" s="2" t="s">
        <v>2440</v>
      </c>
      <c r="H42" s="2" t="s">
        <v>2441</v>
      </c>
      <c r="I42" s="2" t="s">
        <v>22</v>
      </c>
      <c r="J42" s="2" t="s">
        <v>2442</v>
      </c>
      <c r="K42" s="2" t="s">
        <v>2443</v>
      </c>
      <c r="L42" s="2" t="s">
        <v>15</v>
      </c>
      <c r="M42" s="2">
        <v>1</v>
      </c>
    </row>
    <row r="43" spans="1:13">
      <c r="A43" s="2" t="s">
        <v>2077</v>
      </c>
      <c r="B43" s="2" t="s">
        <v>2563</v>
      </c>
      <c r="C43" s="2" t="s">
        <v>2437</v>
      </c>
      <c r="D43" s="2" t="s">
        <v>2438</v>
      </c>
      <c r="E43" s="2" t="s">
        <v>524</v>
      </c>
      <c r="F43" s="2" t="s">
        <v>2439</v>
      </c>
      <c r="G43" s="2" t="s">
        <v>2444</v>
      </c>
      <c r="H43" s="2" t="s">
        <v>2445</v>
      </c>
      <c r="I43" s="2" t="s">
        <v>26</v>
      </c>
      <c r="J43" s="2" t="s">
        <v>2446</v>
      </c>
      <c r="K43" s="2" t="s">
        <v>2447</v>
      </c>
      <c r="L43" s="2" t="s">
        <v>15</v>
      </c>
      <c r="M43" s="2">
        <v>1</v>
      </c>
    </row>
    <row r="44" spans="1:13">
      <c r="A44" s="2" t="s">
        <v>2077</v>
      </c>
      <c r="B44" s="2" t="s">
        <v>2563</v>
      </c>
      <c r="C44" s="2" t="s">
        <v>2437</v>
      </c>
      <c r="D44" s="2" t="s">
        <v>2438</v>
      </c>
      <c r="E44" s="2" t="s">
        <v>524</v>
      </c>
      <c r="F44" s="2" t="s">
        <v>2439</v>
      </c>
      <c r="G44" s="2" t="s">
        <v>2448</v>
      </c>
      <c r="H44" s="2" t="s">
        <v>2449</v>
      </c>
      <c r="I44" s="2" t="s">
        <v>28</v>
      </c>
      <c r="J44" s="2" t="s">
        <v>2450</v>
      </c>
      <c r="K44" s="2" t="s">
        <v>2451</v>
      </c>
      <c r="L44" s="2" t="s">
        <v>15</v>
      </c>
      <c r="M44" s="2">
        <v>1</v>
      </c>
    </row>
    <row r="45" spans="1:13">
      <c r="A45" s="2" t="s">
        <v>2077</v>
      </c>
      <c r="B45" s="2" t="s">
        <v>2563</v>
      </c>
      <c r="C45" s="2" t="s">
        <v>2437</v>
      </c>
      <c r="D45" s="2" t="s">
        <v>2438</v>
      </c>
      <c r="E45" s="2" t="s">
        <v>524</v>
      </c>
      <c r="F45" s="2" t="s">
        <v>2439</v>
      </c>
      <c r="G45" s="2" t="s">
        <v>2452</v>
      </c>
      <c r="H45" s="2" t="s">
        <v>2453</v>
      </c>
      <c r="I45" s="2" t="s">
        <v>24</v>
      </c>
      <c r="J45" s="2" t="s">
        <v>2454</v>
      </c>
      <c r="K45" s="2" t="s">
        <v>2455</v>
      </c>
      <c r="L45" s="2" t="s">
        <v>15</v>
      </c>
      <c r="M45" s="2">
        <v>1</v>
      </c>
    </row>
    <row r="46" spans="1:13">
      <c r="A46" s="2" t="s">
        <v>2077</v>
      </c>
      <c r="B46" s="2" t="s">
        <v>2563</v>
      </c>
      <c r="C46" s="2" t="s">
        <v>2564</v>
      </c>
      <c r="D46" s="2" t="s">
        <v>2565</v>
      </c>
      <c r="E46" s="2" t="s">
        <v>524</v>
      </c>
      <c r="F46" s="2" t="s">
        <v>2566</v>
      </c>
      <c r="G46" s="2" t="s">
        <v>2567</v>
      </c>
      <c r="H46" s="2" t="s">
        <v>2568</v>
      </c>
      <c r="I46" s="2" t="s">
        <v>22</v>
      </c>
      <c r="J46" s="2" t="s">
        <v>2569</v>
      </c>
      <c r="K46" s="2" t="s">
        <v>2570</v>
      </c>
      <c r="L46" s="2" t="s">
        <v>15</v>
      </c>
      <c r="M46" s="2">
        <v>1</v>
      </c>
    </row>
    <row r="47" spans="1:13">
      <c r="A47" s="2" t="s">
        <v>2077</v>
      </c>
      <c r="B47" s="2" t="s">
        <v>2563</v>
      </c>
      <c r="C47" s="2" t="s">
        <v>2564</v>
      </c>
      <c r="D47" s="2" t="s">
        <v>2565</v>
      </c>
      <c r="E47" s="2" t="s">
        <v>524</v>
      </c>
      <c r="F47" s="2" t="s">
        <v>2566</v>
      </c>
      <c r="G47" s="2" t="s">
        <v>2571</v>
      </c>
      <c r="H47" s="2" t="s">
        <v>2572</v>
      </c>
      <c r="I47" s="2" t="s">
        <v>26</v>
      </c>
      <c r="J47" s="2" t="s">
        <v>2573</v>
      </c>
      <c r="K47" s="2" t="s">
        <v>2574</v>
      </c>
      <c r="L47" s="2" t="s">
        <v>15</v>
      </c>
      <c r="M47" s="2">
        <v>1</v>
      </c>
    </row>
    <row r="48" spans="1:13">
      <c r="A48" s="2" t="s">
        <v>2077</v>
      </c>
      <c r="B48" s="2" t="s">
        <v>2563</v>
      </c>
      <c r="C48" s="2" t="s">
        <v>2564</v>
      </c>
      <c r="D48" s="2" t="s">
        <v>2565</v>
      </c>
      <c r="E48" s="2" t="s">
        <v>524</v>
      </c>
      <c r="F48" s="2" t="s">
        <v>2566</v>
      </c>
      <c r="G48" s="2" t="s">
        <v>2575</v>
      </c>
      <c r="H48" s="2" t="s">
        <v>2576</v>
      </c>
      <c r="I48" s="2" t="s">
        <v>28</v>
      </c>
      <c r="J48" s="2" t="s">
        <v>2577</v>
      </c>
      <c r="K48" s="2" t="s">
        <v>2578</v>
      </c>
      <c r="L48" s="2" t="s">
        <v>15</v>
      </c>
      <c r="M48" s="2">
        <v>1</v>
      </c>
    </row>
    <row r="49" spans="1:13">
      <c r="A49" s="2" t="s">
        <v>2077</v>
      </c>
      <c r="B49" s="2" t="s">
        <v>2563</v>
      </c>
      <c r="C49" s="2" t="s">
        <v>2564</v>
      </c>
      <c r="D49" s="2" t="s">
        <v>2565</v>
      </c>
      <c r="E49" s="2" t="s">
        <v>524</v>
      </c>
      <c r="F49" s="2" t="s">
        <v>2566</v>
      </c>
      <c r="G49" s="2" t="s">
        <v>2579</v>
      </c>
      <c r="H49" s="2" t="s">
        <v>2580</v>
      </c>
      <c r="I49" s="2" t="s">
        <v>24</v>
      </c>
      <c r="J49" s="2" t="s">
        <v>2581</v>
      </c>
      <c r="K49" s="2" t="s">
        <v>2582</v>
      </c>
      <c r="L49" s="2" t="s">
        <v>15</v>
      </c>
      <c r="M49" s="2">
        <v>1</v>
      </c>
    </row>
    <row r="50" spans="1:13">
      <c r="A50" s="2" t="s">
        <v>2077</v>
      </c>
      <c r="B50" s="2" t="s">
        <v>2583</v>
      </c>
      <c r="C50" s="2" t="s">
        <v>2456</v>
      </c>
      <c r="D50" s="2" t="s">
        <v>2457</v>
      </c>
      <c r="E50" s="2" t="s">
        <v>524</v>
      </c>
      <c r="F50" s="2" t="s">
        <v>2458</v>
      </c>
      <c r="G50" s="2" t="s">
        <v>2459</v>
      </c>
      <c r="H50" s="2" t="s">
        <v>2460</v>
      </c>
      <c r="I50" s="2" t="s">
        <v>22</v>
      </c>
      <c r="J50" s="2" t="s">
        <v>2461</v>
      </c>
      <c r="K50" s="2" t="s">
        <v>2462</v>
      </c>
      <c r="L50" s="2" t="s">
        <v>15</v>
      </c>
      <c r="M50" s="2">
        <v>1</v>
      </c>
    </row>
    <row r="51" spans="1:13">
      <c r="A51" s="2" t="s">
        <v>2077</v>
      </c>
      <c r="B51" s="2" t="s">
        <v>2583</v>
      </c>
      <c r="C51" s="2" t="s">
        <v>2456</v>
      </c>
      <c r="D51" s="2" t="s">
        <v>2457</v>
      </c>
      <c r="E51" s="2" t="s">
        <v>524</v>
      </c>
      <c r="F51" s="2" t="s">
        <v>2458</v>
      </c>
      <c r="G51" s="2" t="s">
        <v>714</v>
      </c>
      <c r="H51" s="2" t="s">
        <v>2463</v>
      </c>
      <c r="I51" s="2" t="s">
        <v>26</v>
      </c>
      <c r="J51" s="2" t="s">
        <v>2464</v>
      </c>
      <c r="K51" s="2" t="s">
        <v>2465</v>
      </c>
      <c r="L51" s="2" t="s">
        <v>15</v>
      </c>
      <c r="M51" s="2">
        <v>1</v>
      </c>
    </row>
    <row r="52" spans="1:13">
      <c r="A52" s="2" t="s">
        <v>2077</v>
      </c>
      <c r="B52" s="2" t="s">
        <v>2583</v>
      </c>
      <c r="C52" s="2" t="s">
        <v>2456</v>
      </c>
      <c r="D52" s="2" t="s">
        <v>2457</v>
      </c>
      <c r="E52" s="2" t="s">
        <v>524</v>
      </c>
      <c r="F52" s="2" t="s">
        <v>2458</v>
      </c>
      <c r="G52" s="2" t="s">
        <v>2466</v>
      </c>
      <c r="H52" s="2" t="s">
        <v>2467</v>
      </c>
      <c r="I52" s="2" t="s">
        <v>28</v>
      </c>
      <c r="J52" s="2" t="s">
        <v>2468</v>
      </c>
      <c r="K52" s="2" t="s">
        <v>2469</v>
      </c>
      <c r="L52" s="2" t="s">
        <v>15</v>
      </c>
      <c r="M52" s="2">
        <v>1</v>
      </c>
    </row>
    <row r="53" spans="1:13">
      <c r="A53" s="2" t="s">
        <v>2077</v>
      </c>
      <c r="B53" s="2" t="s">
        <v>2583</v>
      </c>
      <c r="C53" s="2" t="s">
        <v>2456</v>
      </c>
      <c r="D53" s="2" t="s">
        <v>2457</v>
      </c>
      <c r="E53" s="2" t="s">
        <v>524</v>
      </c>
      <c r="F53" s="2" t="s">
        <v>2458</v>
      </c>
      <c r="G53" s="2" t="s">
        <v>2470</v>
      </c>
      <c r="H53" s="2" t="s">
        <v>2471</v>
      </c>
      <c r="I53" s="2" t="s">
        <v>24</v>
      </c>
      <c r="J53" s="2" t="s">
        <v>2472</v>
      </c>
      <c r="K53" s="2" t="s">
        <v>2473</v>
      </c>
      <c r="L53" s="2" t="s">
        <v>15</v>
      </c>
      <c r="M53" s="2">
        <v>1</v>
      </c>
    </row>
    <row r="54" spans="1:13">
      <c r="A54" s="2" t="s">
        <v>2077</v>
      </c>
      <c r="B54" s="2" t="s">
        <v>2584</v>
      </c>
      <c r="C54" s="2" t="s">
        <v>2585</v>
      </c>
      <c r="D54" s="2" t="s">
        <v>2586</v>
      </c>
      <c r="E54" s="2" t="s">
        <v>524</v>
      </c>
      <c r="F54" s="2" t="s">
        <v>2587</v>
      </c>
      <c r="G54" s="2" t="s">
        <v>2588</v>
      </c>
      <c r="H54" s="2" t="s">
        <v>2589</v>
      </c>
      <c r="I54" s="2" t="s">
        <v>22</v>
      </c>
      <c r="J54" s="2" t="s">
        <v>2590</v>
      </c>
      <c r="K54" s="2" t="s">
        <v>2591</v>
      </c>
      <c r="L54" s="2" t="s">
        <v>15</v>
      </c>
      <c r="M54" s="2">
        <v>1</v>
      </c>
    </row>
    <row r="55" spans="1:13">
      <c r="A55" s="2" t="s">
        <v>2077</v>
      </c>
      <c r="B55" s="2" t="s">
        <v>2584</v>
      </c>
      <c r="C55" s="2" t="s">
        <v>2585</v>
      </c>
      <c r="D55" s="2" t="s">
        <v>2586</v>
      </c>
      <c r="E55" s="2" t="s">
        <v>524</v>
      </c>
      <c r="F55" s="2" t="s">
        <v>2587</v>
      </c>
      <c r="G55" s="2" t="s">
        <v>2592</v>
      </c>
      <c r="H55" s="2" t="s">
        <v>2593</v>
      </c>
      <c r="I55" s="2" t="s">
        <v>26</v>
      </c>
      <c r="J55" s="2" t="s">
        <v>2594</v>
      </c>
      <c r="K55" s="2" t="s">
        <v>2595</v>
      </c>
      <c r="L55" s="2" t="s">
        <v>15</v>
      </c>
      <c r="M55" s="2">
        <v>1</v>
      </c>
    </row>
    <row r="56" spans="1:13">
      <c r="A56" s="2" t="s">
        <v>2077</v>
      </c>
      <c r="B56" s="2" t="s">
        <v>2584</v>
      </c>
      <c r="C56" s="2" t="s">
        <v>2585</v>
      </c>
      <c r="D56" s="2" t="s">
        <v>2586</v>
      </c>
      <c r="E56" s="2" t="s">
        <v>524</v>
      </c>
      <c r="F56" s="2" t="s">
        <v>2587</v>
      </c>
      <c r="G56" s="2" t="s">
        <v>2596</v>
      </c>
      <c r="H56" s="2" t="s">
        <v>2597</v>
      </c>
      <c r="I56" s="2" t="s">
        <v>28</v>
      </c>
      <c r="J56" s="2" t="s">
        <v>2598</v>
      </c>
      <c r="K56" s="2" t="s">
        <v>2599</v>
      </c>
      <c r="L56" s="2" t="s">
        <v>15</v>
      </c>
      <c r="M56" s="2">
        <v>1</v>
      </c>
    </row>
    <row r="57" spans="1:13">
      <c r="A57" s="2" t="s">
        <v>2077</v>
      </c>
      <c r="B57" s="2" t="s">
        <v>2584</v>
      </c>
      <c r="C57" s="2" t="s">
        <v>2585</v>
      </c>
      <c r="D57" s="2" t="s">
        <v>2586</v>
      </c>
      <c r="E57" s="2" t="s">
        <v>524</v>
      </c>
      <c r="F57" s="2" t="s">
        <v>2587</v>
      </c>
      <c r="G57" s="2" t="s">
        <v>2600</v>
      </c>
      <c r="H57" s="2" t="s">
        <v>2601</v>
      </c>
      <c r="I57" s="2" t="s">
        <v>24</v>
      </c>
      <c r="J57" s="2" t="s">
        <v>2602</v>
      </c>
      <c r="K57" s="2" t="s">
        <v>2603</v>
      </c>
      <c r="L57" s="2" t="s">
        <v>15</v>
      </c>
      <c r="M57" s="2">
        <v>1</v>
      </c>
    </row>
    <row r="58" spans="1:13">
      <c r="A58" s="2" t="s">
        <v>2077</v>
      </c>
      <c r="B58" s="2" t="s">
        <v>2584</v>
      </c>
      <c r="C58" s="2" t="s">
        <v>2604</v>
      </c>
      <c r="D58" s="2" t="s">
        <v>2605</v>
      </c>
      <c r="E58" s="2" t="s">
        <v>524</v>
      </c>
      <c r="F58" s="2" t="s">
        <v>2476</v>
      </c>
      <c r="G58" s="2" t="s">
        <v>2606</v>
      </c>
      <c r="H58" s="2" t="s">
        <v>2478</v>
      </c>
      <c r="I58" s="2" t="s">
        <v>22</v>
      </c>
      <c r="J58" s="2" t="s">
        <v>2479</v>
      </c>
      <c r="K58" s="2" t="s">
        <v>2480</v>
      </c>
      <c r="L58" s="2" t="s">
        <v>15</v>
      </c>
      <c r="M58" s="2">
        <v>1</v>
      </c>
    </row>
    <row r="59" spans="1:13">
      <c r="A59" s="2" t="s">
        <v>2077</v>
      </c>
      <c r="B59" s="2" t="s">
        <v>2584</v>
      </c>
      <c r="C59" s="2" t="s">
        <v>2604</v>
      </c>
      <c r="D59" s="2" t="s">
        <v>2605</v>
      </c>
      <c r="E59" s="2" t="s">
        <v>524</v>
      </c>
      <c r="F59" s="2" t="s">
        <v>2476</v>
      </c>
      <c r="G59" s="2" t="s">
        <v>2607</v>
      </c>
      <c r="H59" s="2" t="s">
        <v>2482</v>
      </c>
      <c r="I59" s="2" t="s">
        <v>26</v>
      </c>
      <c r="J59" s="2" t="s">
        <v>2483</v>
      </c>
      <c r="K59" s="2" t="s">
        <v>2484</v>
      </c>
      <c r="L59" s="2" t="s">
        <v>15</v>
      </c>
      <c r="M59" s="2">
        <v>1</v>
      </c>
    </row>
    <row r="60" spans="1:13">
      <c r="A60" s="2" t="s">
        <v>2077</v>
      </c>
      <c r="B60" s="2" t="s">
        <v>2584</v>
      </c>
      <c r="C60" s="2" t="s">
        <v>2604</v>
      </c>
      <c r="D60" s="2" t="s">
        <v>2605</v>
      </c>
      <c r="E60" s="2" t="s">
        <v>524</v>
      </c>
      <c r="F60" s="2" t="s">
        <v>2476</v>
      </c>
      <c r="G60" s="2" t="s">
        <v>2608</v>
      </c>
      <c r="H60" s="2" t="s">
        <v>2486</v>
      </c>
      <c r="I60" s="2" t="s">
        <v>28</v>
      </c>
      <c r="J60" s="2" t="s">
        <v>2487</v>
      </c>
      <c r="K60" s="2" t="s">
        <v>2488</v>
      </c>
      <c r="L60" s="2" t="s">
        <v>15</v>
      </c>
      <c r="M60" s="2">
        <v>1</v>
      </c>
    </row>
    <row r="61" spans="1:13">
      <c r="A61" s="2" t="s">
        <v>2077</v>
      </c>
      <c r="B61" s="2" t="s">
        <v>2584</v>
      </c>
      <c r="C61" s="2" t="s">
        <v>2604</v>
      </c>
      <c r="D61" s="2" t="s">
        <v>2605</v>
      </c>
      <c r="E61" s="2" t="s">
        <v>524</v>
      </c>
      <c r="F61" s="2" t="s">
        <v>2476</v>
      </c>
      <c r="G61" s="2" t="s">
        <v>2609</v>
      </c>
      <c r="H61" s="2" t="s">
        <v>2490</v>
      </c>
      <c r="I61" s="2" t="s">
        <v>24</v>
      </c>
      <c r="J61" s="2" t="s">
        <v>2491</v>
      </c>
      <c r="K61" s="2" t="s">
        <v>2492</v>
      </c>
      <c r="L61" s="2" t="s">
        <v>15</v>
      </c>
      <c r="M61" s="2">
        <v>1</v>
      </c>
    </row>
    <row r="62" spans="1:13">
      <c r="A62" s="2" t="s">
        <v>2077</v>
      </c>
      <c r="B62" s="2" t="s">
        <v>2610</v>
      </c>
      <c r="C62" s="2" t="s">
        <v>2493</v>
      </c>
      <c r="D62" s="2" t="s">
        <v>2494</v>
      </c>
      <c r="E62" s="2" t="s">
        <v>524</v>
      </c>
      <c r="F62" s="2" t="s">
        <v>2495</v>
      </c>
      <c r="G62" s="2" t="s">
        <v>2496</v>
      </c>
      <c r="H62" s="2" t="s">
        <v>2497</v>
      </c>
      <c r="I62" s="2" t="s">
        <v>22</v>
      </c>
      <c r="J62" s="2" t="s">
        <v>2498</v>
      </c>
      <c r="K62" s="2" t="s">
        <v>2499</v>
      </c>
      <c r="L62" s="2" t="s">
        <v>15</v>
      </c>
      <c r="M62" s="2">
        <v>1</v>
      </c>
    </row>
    <row r="63" spans="1:13">
      <c r="A63" s="2" t="s">
        <v>2077</v>
      </c>
      <c r="B63" s="2" t="s">
        <v>2610</v>
      </c>
      <c r="C63" s="2" t="s">
        <v>2493</v>
      </c>
      <c r="D63" s="2" t="s">
        <v>2494</v>
      </c>
      <c r="E63" s="2" t="s">
        <v>524</v>
      </c>
      <c r="F63" s="2" t="s">
        <v>2495</v>
      </c>
      <c r="G63" s="2" t="s">
        <v>2500</v>
      </c>
      <c r="H63" s="2" t="s">
        <v>2501</v>
      </c>
      <c r="I63" s="2" t="s">
        <v>26</v>
      </c>
      <c r="J63" s="2" t="s">
        <v>2502</v>
      </c>
      <c r="K63" s="2" t="s">
        <v>2503</v>
      </c>
      <c r="L63" s="2" t="s">
        <v>15</v>
      </c>
      <c r="M63" s="2">
        <v>1</v>
      </c>
    </row>
    <row r="64" spans="1:13">
      <c r="A64" s="2" t="s">
        <v>2077</v>
      </c>
      <c r="B64" s="2" t="s">
        <v>2610</v>
      </c>
      <c r="C64" s="2" t="s">
        <v>2493</v>
      </c>
      <c r="D64" s="2" t="s">
        <v>2494</v>
      </c>
      <c r="E64" s="2" t="s">
        <v>524</v>
      </c>
      <c r="F64" s="2" t="s">
        <v>2495</v>
      </c>
      <c r="G64" s="2" t="s">
        <v>2504</v>
      </c>
      <c r="H64" s="2" t="s">
        <v>2505</v>
      </c>
      <c r="I64" s="2" t="s">
        <v>28</v>
      </c>
      <c r="J64" s="2" t="s">
        <v>2506</v>
      </c>
      <c r="K64" s="2" t="s">
        <v>2507</v>
      </c>
      <c r="L64" s="2" t="s">
        <v>15</v>
      </c>
      <c r="M64" s="2">
        <v>1</v>
      </c>
    </row>
    <row r="65" spans="1:13">
      <c r="A65" s="2" t="s">
        <v>2077</v>
      </c>
      <c r="B65" s="2" t="s">
        <v>2610</v>
      </c>
      <c r="C65" s="2" t="s">
        <v>2493</v>
      </c>
      <c r="D65" s="2" t="s">
        <v>2494</v>
      </c>
      <c r="E65" s="2" t="s">
        <v>524</v>
      </c>
      <c r="F65" s="2" t="s">
        <v>2495</v>
      </c>
      <c r="G65" s="2" t="s">
        <v>2508</v>
      </c>
      <c r="H65" s="2" t="s">
        <v>2509</v>
      </c>
      <c r="I65" s="2" t="s">
        <v>24</v>
      </c>
      <c r="J65" s="2" t="s">
        <v>2510</v>
      </c>
      <c r="K65" s="2" t="s">
        <v>2511</v>
      </c>
      <c r="L65" s="2" t="s">
        <v>15</v>
      </c>
      <c r="M65" s="2">
        <v>1</v>
      </c>
    </row>
    <row r="66" spans="1:13">
      <c r="A66" s="2" t="s">
        <v>2077</v>
      </c>
      <c r="B66" s="2" t="s">
        <v>2610</v>
      </c>
      <c r="C66" s="2" t="s">
        <v>2512</v>
      </c>
      <c r="D66" s="2" t="s">
        <v>2513</v>
      </c>
      <c r="E66" s="2" t="s">
        <v>524</v>
      </c>
      <c r="F66" s="2" t="s">
        <v>2514</v>
      </c>
      <c r="G66" s="2" t="s">
        <v>2515</v>
      </c>
      <c r="H66" s="2" t="s">
        <v>2516</v>
      </c>
      <c r="I66" s="2" t="s">
        <v>22</v>
      </c>
      <c r="J66" s="2" t="s">
        <v>2517</v>
      </c>
      <c r="K66" s="2" t="s">
        <v>2518</v>
      </c>
      <c r="L66" s="2" t="s">
        <v>15</v>
      </c>
      <c r="M66" s="2">
        <v>1</v>
      </c>
    </row>
    <row r="67" spans="1:13">
      <c r="A67" s="2" t="s">
        <v>2077</v>
      </c>
      <c r="B67" s="2" t="s">
        <v>2610</v>
      </c>
      <c r="C67" s="2" t="s">
        <v>2512</v>
      </c>
      <c r="D67" s="2" t="s">
        <v>2513</v>
      </c>
      <c r="E67" s="2" t="s">
        <v>524</v>
      </c>
      <c r="F67" s="2" t="s">
        <v>2514</v>
      </c>
      <c r="G67" s="2" t="s">
        <v>2519</v>
      </c>
      <c r="H67" s="2" t="s">
        <v>2520</v>
      </c>
      <c r="I67" s="2" t="s">
        <v>26</v>
      </c>
      <c r="J67" s="2" t="s">
        <v>2521</v>
      </c>
      <c r="K67" s="2" t="s">
        <v>2522</v>
      </c>
      <c r="L67" s="2" t="s">
        <v>15</v>
      </c>
      <c r="M67" s="2">
        <v>1</v>
      </c>
    </row>
    <row r="68" spans="1:13">
      <c r="A68" s="2" t="s">
        <v>2077</v>
      </c>
      <c r="B68" s="2" t="s">
        <v>2610</v>
      </c>
      <c r="C68" s="2" t="s">
        <v>2512</v>
      </c>
      <c r="D68" s="2" t="s">
        <v>2513</v>
      </c>
      <c r="E68" s="2" t="s">
        <v>524</v>
      </c>
      <c r="F68" s="2" t="s">
        <v>2514</v>
      </c>
      <c r="G68" s="2" t="s">
        <v>2523</v>
      </c>
      <c r="H68" s="2" t="s">
        <v>2524</v>
      </c>
      <c r="I68" s="2" t="s">
        <v>28</v>
      </c>
      <c r="J68" s="2" t="s">
        <v>2525</v>
      </c>
      <c r="K68" s="2" t="s">
        <v>2526</v>
      </c>
      <c r="L68" s="2" t="s">
        <v>15</v>
      </c>
      <c r="M68" s="2">
        <v>1</v>
      </c>
    </row>
    <row r="69" spans="1:13">
      <c r="A69" s="2" t="s">
        <v>2077</v>
      </c>
      <c r="B69" s="2" t="s">
        <v>2610</v>
      </c>
      <c r="C69" s="2" t="s">
        <v>2512</v>
      </c>
      <c r="D69" s="2" t="s">
        <v>2513</v>
      </c>
      <c r="E69" s="2" t="s">
        <v>524</v>
      </c>
      <c r="F69" s="2" t="s">
        <v>2514</v>
      </c>
      <c r="G69" s="2" t="s">
        <v>2527</v>
      </c>
      <c r="H69" s="2" t="s">
        <v>2528</v>
      </c>
      <c r="I69" s="2" t="s">
        <v>24</v>
      </c>
      <c r="J69" s="2" t="s">
        <v>2529</v>
      </c>
      <c r="K69" s="2" t="s">
        <v>2530</v>
      </c>
      <c r="L69" s="2" t="s">
        <v>15</v>
      </c>
      <c r="M69" s="2">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Macintosh Excel</Application>
  <HeadingPairs>
    <vt:vector size="2" baseType="variant">
      <vt:variant>
        <vt:lpstr>工作表</vt:lpstr>
      </vt:variant>
      <vt:variant>
        <vt:i4>3</vt:i4>
      </vt:variant>
    </vt:vector>
  </HeadingPairs>
  <TitlesOfParts>
    <vt:vector size="3" baseType="lpstr">
      <vt:lpstr>填写说明</vt:lpstr>
      <vt:lpstr>灵犀助手-cosmic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国税总局估算工具</dc:title>
  <dc:subject>工作量评估</dc:subject>
  <dc:creator>王海青</dc:creator>
  <cp:lastModifiedBy>玉儿</cp:lastModifiedBy>
  <dcterms:created xsi:type="dcterms:W3CDTF">2012-10-15T13:58:00Z</dcterms:created>
  <cp:lastPrinted>2019-10-12T01:57:00Z</cp:lastPrinted>
  <dcterms:modified xsi:type="dcterms:W3CDTF">2026-05-19T06:37:39Z</dcterms:modified>
  <cp:category>计算器</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B81051E373E24130B7C8B57D7A32BA85_13</vt:lpwstr>
  </property>
  <property fmtid="{D5CDD505-2E9C-101B-9397-08002B2CF9AE}" pid="4" name="commondata">
    <vt:lpwstr>eyJoZGlkIjoiMTdiZWQ2YmJiMDhhNWY2YTk1OTdjOWIzYTJjY2Q0MTUifQ==</vt:lpwstr>
  </property>
  <property fmtid="{D5CDD505-2E9C-101B-9397-08002B2CF9AE}" pid="5" name="KSOReadingLayout">
    <vt:bool>true</vt:bool>
  </property>
  <property fmtid="{D5CDD505-2E9C-101B-9397-08002B2CF9AE}" pid="6" name="CalculationRule">
    <vt:i4>0</vt:i4>
  </property>
</Properties>
</file>